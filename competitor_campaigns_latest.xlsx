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<x:sst xmlns:x="http://schemas.openxmlformats.org/spreadsheetml/2006/main">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</x:sst>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26</c:v>
                </c:pt>
                <c:pt idx="1">
                  <c:v>10</c:v>
                </c:pt>
                <c:pt idx="2">
                  <c:v>21</c:v>
                </c:pt>
                <c:pt idx="3">
                  <c:v>16</c:v>
                </c:pt>
                <c:pt idx="4">
                  <c:v>9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50</c:v>
                </c:pt>
                <c:pt idx="1">
                  <c:v>39</c:v>
                </c:pt>
                <c:pt idx="2">
                  <c:v>30</c:v>
                </c:pt>
                <c:pt idx="3">
                  <c:v>12</c:v>
                </c:pt>
                <c:pt idx="4">
                  <c:v>36</c:v>
                </c:pt>
                <c:pt idx="5">
                  <c:v>16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51</c:v>
                </c:pt>
                <c:pt idx="1">
                  <c:v>16</c:v>
                </c:pt>
                <c:pt idx="2">
                  <c:v>24</c:v>
                </c:pt>
                <c:pt idx="3">
                  <c:v>16</c:v>
                </c:pt>
                <c:pt idx="4">
                  <c:v>13</c:v>
                </c:pt>
                <c:pt idx="5">
                  <c:v>9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3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6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46262.06357903465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46262.246670400746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30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418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6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26</x:v>
      </x:c>
      <x:c r="Z12" s="289" t="n">
        <x:v>50</x:v>
      </x:c>
      <x:c r="AA12" s="289" t="n">
        <x:v>51</x:v>
      </x:c>
      <x:c r="AB12" s="289" t="n">
        <x:v>3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39</x:v>
      </x:c>
      <x:c r="AA13" s="289" t="n">
        <x:v>16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36</x:v>
      </x:c>
      <x:c r="AA16" s="289" t="n">
        <x:v>13</x:v>
      </x:c>
      <x:c r="AB16" s="289" t="n">
        <x:v>6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16</x:v>
      </x:c>
      <x:c r="AA17" s="289" t="n">
        <x:v>9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10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35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3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8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 t="inlineStr">
        <x:is>
          <x:t xml:space="preserve">https://www.tiktok.com/@stcbank_ksa/video/7630791930657508628</x:t>
        </x:is>
      </x:c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76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3</x:v>
      </x:c>
      <x:c r="U12" s="35" t="inlineStr">
        <x:is>
          <x:t xml:space="preserve">Instagram, Facebook, TikTok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2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33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3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22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8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125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2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6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125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Musaned Salary Transfer – 100% Cashback Draw</x:t>
        </x:is>
      </x:c>
      <x:c r="D12" s="4" t="inlineStr">
        <x:is>
          <x:t xml:space="preserve">Transfer a domestic worker's salary through Musaned in alinma pay for a chance to win 100% cashback.</x:t>
        </x:is>
      </x:c>
      <x:c r="E12" s="5"/>
      <x:c r="F12" s="5" t="n">
        <x:v>46239.0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Domestic worker salary transfer through Musaned</x:t>
        </x:is>
      </x:c>
      <x:c r="K12" s="4" t="inlineStr">
        <x:is>
          <x:t xml:space="preserve">Three winners receive 100% cashback up to SAR 1,000</x:t>
        </x:is>
      </x:c>
      <x:c r="L12" s="4" t="inlineStr">
        <x:is>
          <x:t xml:space="preserve">alinma pay customers transferring domestic-worker salaries through Musaned</x:t>
        </x:is>
      </x:c>
      <x:c r="M12" s="9" t="str">
        <x:f t="shared" si="3">IF(C12="","",IF(N12&lt;&gt;"",N12,IF(O12&lt;&gt;"",O12,IF(P12&lt;&gt;"",P12,IF(Q12&lt;&gt;"",Q12,IF(R12&lt;&gt;"",R12,""))))))</x:f>
        <x:v>https://www.instagram.com/alinmapay/p/DbqaY05mm9E/</x:v>
      </x:c>
      <x:c r="N12" s="4" t="inlineStr">
        <x:is>
          <x:t xml:space="preserve">https://www.instagram.com/alinmapay/p/DbqaY05mm9E/</x:t>
        </x:is>
      </x:c>
      <x:c r="O12" s="4" t="inlineStr">
        <x:is>
          <x:t xml:space="preserve">['https://www.instagram.com/alinmapay/p/DbqaY05mm9E/', 'https://www.instagram.com/p/DbqaY05mm9E']</x:t>
        </x:is>
      </x:c>
      <x:c r="P12" s="4" t="inlineStr">
        <x:is>
          <x:t xml:space="preserve">['https://x.com/alinmapay/status/2085018248685232195', 'https://x.com/alinmapay/status/2082127730972176680']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 t="inlineStr">
        <x:is>
          <x:t xml:space="preserve">Official Instagram and X posts announce three winners, each receiving 100% cashback up to SAR 1,000. The campaign end date is not stated.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صفر رسوم على المشتريات الدولية</x:t>
        </x:is>
      </x:c>
      <x:c r="D13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3" s="5"/>
      <x:c r="F13" s="5" t="n">
        <x:v>46197.0</x:v>
      </x:c>
      <x:c r="G13" s="5" t="n">
        <x:v>46265.0</x:v>
      </x:c>
      <x:c r="H13" s="7" t="n">
        <x:f t="shared" si="1">IF(OR(C13="",G13=""),"",G13-TODAY())</x:f>
        <x:v>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≤7 Days</x:v>
      </x:c>
      <x:c r="J13" s="4"/>
      <x:c r="K13" s="4"/>
      <x:c r="L13" s="4"/>
      <x:c r="M13" s="9" t="str">
        <x:f t="shared" si="3">IF(C13="","",IF(N13&lt;&gt;"",N13,IF(O13&lt;&gt;"",O13,IF(P13&lt;&gt;"",P13,IF(Q13&lt;&gt;"",Q13,IF(R13&lt;&gt;"",R13,""))))))</x:f>
        <x:v>https://www.alinmapay.com.sa/Offers/OIF-JUN2026</x:v>
      </x:c>
      <x:c r="N13" s="4" t="inlineStr">
        <x:is>
          <x:t xml:space="preserve">https://www.alinmapay.com.sa/Offers/OIF-JUN2026</x:t>
        </x:is>
      </x:c>
      <x:c r="O13" s="4"/>
      <x:c r="P13" s="4" t="inlineStr">
        <x:is>
          <x:t xml:space="preserve">https://x.com/alinmapay/status/2078087619943055657</x:t>
        </x:is>
      </x:c>
      <x:c r="Q13" s="4"/>
      <x:c r="R13" s="4"/>
      <x:c r="S13" s="4"/>
      <x:c r="T13" s="8" t="n">
        <x:v>1</x:v>
      </x:c>
      <x:c r="U13" s="35" t="inlineStr">
        <x:is>
          <x:t xml:space="preserve">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Remittance</x:t>
        </x:is>
      </x:c>
      <x:c r="C14" s="4" t="inlineStr">
        <x:is>
          <x:t xml:space="preserve">Zero-Fee Transfers to India from SAR 700</x:t>
        </x:is>
      </x:c>
      <x:c r="D14" s="4" t="inlineStr">
        <x:is>
          <x:t xml:space="preserve">Transfers of SAR 700 or more to Indian bank accounts are promoted with zero transfer fees.</x:t>
        </x:is>
      </x:c>
      <x:c r="E14" s="5"/>
      <x:c r="F14" s="5" t="n">
        <x:v>46068.0</x:v>
      </x:c>
      <x:c r="G14" s="5"/>
      <x:c r="H14" s="7">
        <x:f t="shared" si="1"/>
      </x:c>
      <x:c r="I14" s="6" t="str">
        <x:f t="shared" si="2"/>
        <x:v>End Date Not Stated</x:v>
      </x:c>
      <x:c r="J14" s="4" t="inlineStr">
        <x:is>
          <x:t xml:space="preserve">International transfers to India</x:t>
        </x:is>
      </x:c>
      <x:c r="K14" s="4" t="inlineStr">
        <x:is>
          <x:t xml:space="preserve">Zero transfer fee for transfers of SAR 700 or more</x:t>
        </x:is>
      </x:c>
      <x:c r="L14" s="4" t="inlineStr">
        <x:is>
          <x:t xml:space="preserve">alinma pay Direct customers transferring to eligible Indian bank accounts</x:t>
        </x:is>
      </x:c>
      <x:c r="M14" s="9" t="str">
        <x:f t="shared" si="3"/>
        <x:v>https://www.facebook.com/AlinmaPaySA/videos/zero-fees-fast-transfers-to-india/873682655502395/</x:v>
      </x:c>
      <x:c r="N14" s="4" t="inlineStr">
        <x:is>
          <x:t xml:space="preserve">https://www.facebook.com/AlinmaPaySA/videos/zero-fees-fast-transfers-to-india/873682655502395/</x:t>
        </x:is>
      </x:c>
      <x:c r="O14" s="4"/>
      <x:c r="P14" s="4"/>
      <x:c r="Q14" s="4" t="inlineStr">
        <x:is>
          <x:t xml:space="preserve">https://www.facebook.com/AlinmaPaySA/videos/zero-fees-fast-transfers-to-india/873682655502395/</x:t>
        </x:is>
      </x:c>
      <x:c r="R14" s="4"/>
      <x:c r="S14" s="4" t="inlineStr">
        <x:is>
          <x:t xml:space="preserve">Campaign end date is not stated in the official video.</x:t>
        </x:is>
      </x:c>
      <x:c r="T14" s="8" t="n">
        <x:v>1</x:v>
      </x:c>
      <x:c r="U14" s="35" t="inlineStr">
        <x:is>
          <x:t xml:space="preserve">Facebook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