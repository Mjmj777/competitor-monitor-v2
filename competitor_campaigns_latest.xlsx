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2d58d1a9e864337" /></Relationships>
</file>

<file path=xl/workbook.xml><?xml version="1.0" encoding="utf-8"?>
<x:workbook xmlns:ns1="http://schemas.openxmlformats.org/officeDocument/2006/relationships" xmlns:x="http://schemas.openxmlformats.org/spreadsheetml/2006/main">
  <x:sheets>
    <x:sheet name="Executive Dashboard" sheetId="1" ns1:id="R168a2df8c4a547f3"/>
    <x:sheet name="STC Bank" sheetId="2" ns1:id="Raea0d815ed284158"/>
    <x:sheet name="barq" sheetId="3" ns1:id="R3956992296624e20"/>
    <x:sheet name="Mobily Pay" sheetId="4" ns1:id="Ra364fe89271e48fe"/>
    <x:sheet name="tiqmo" sheetId="5" ns1:id="R90f32dfcfbf845c2"/>
    <x:sheet name="urpay" sheetId="6" ns1:id="R535a0cb840fa43d6"/>
    <x:sheet name="alinma pay" sheetId="7" ns1:id="R1396fb174f6d462a"/>
    <x:sheet name="Update Guide" sheetId="8" ns1:id="R6a9044efb54e437c"/>
  </x:sheets>
  <x:calcPr calcMode="auto" fullCalcOnLoad="1" forceFullCalc="1"/>
</x:workbook>
</file>

<file path=xl/sharedStrings.xml><?xml version="1.0" encoding="utf-8"?>
<x:sst xmlns:x="http://schemas.openxmlformats.org/spreadsheetml/2006/main">
  <x:si>
    <x:t xml:space="preserve">Competitor Campaigns – Remittance-Focused Management Reference</x:t>
  </x:si>
  <x:si>
    <x:t xml:space="preserve">STC Bank | barq | Mobily Pay | tiqmo | urpay | alinma pay</x:t>
  </x:si>
  <x:si>
    <x:t xml:space="preserve">Status Calculated As Of</x:t>
  </x:si>
  <x:si>
    <x:t xml:space="preserve">Merchant partner discounts are retained as a Merchant Offers Portfolio for reference, but are excluded from all Campaign KPIs and campaign-mix analysis.</x:t>
  </x:si>
  <x:si>
    <x:t xml:space="preserve">Current Campaigns</x:t>
  </x:si>
  <x:si>
    <x:t xml:space="preserve">Remittance Campaigns</x:t>
  </x:si>
  <x:si>
    <x:t xml:space="preserve">Merchant Offers (Reference)</x:t>
  </x:si>
  <x:si>
    <x:t xml:space="preserve">Expiring Campaigns ≤30d</x:t>
  </x:si>
  <x:si>
    <x:t xml:space="preserve">Expired Campaigns</x:t>
  </x:si>
  <x:si>
    <x:t xml:space="preserve">Competitor</x:t>
  </x:si>
  <x:si>
    <x:t xml:space="preserve">Active &gt;30d</x:t>
  </x:si>
  <x:si>
    <x:t xml:space="preserve">End Date Not Stated</x:t>
  </x:si>
  <x:si>
    <x:t xml:space="preserve">Expiring ≤7d</x:t>
  </x:si>
  <x:si>
    <x:t xml:space="preserve">Expiring 8–30d</x:t>
  </x:si>
  <x:si>
    <x:t xml:space="preserve">Expired</x:t>
  </x:si>
  <x:si>
    <x:t xml:space="preserve">Remittance</x:t>
  </x:si>
  <x:si>
    <x:t xml:space="preserve">Musaned</x:t>
  </x:si>
  <x:si>
    <x:t xml:space="preserve">SADAD</x:t>
  </x:si>
  <x:si>
    <x:t xml:space="preserve">Card</x:t>
  </x:si>
  <x:si>
    <x:t xml:space="preserve">Engagement</x:t>
  </x:si>
  <x:si>
    <x:t xml:space="preserve">STC Bank</x:t>
  </x:si>
  <x:si>
    <x:t xml:space="preserve">barq</x:t>
  </x:si>
  <x:si>
    <x:t xml:space="preserve">Mobily Pay</x:t>
  </x:si>
  <x:si>
    <x:t xml:space="preserve">tiqmo</x:t>
  </x:si>
  <x:si>
    <x:t xml:space="preserve">urpay</x:t>
  </x:si>
  <x:si>
    <x:t xml:space="preserve">alinma pay</x:t>
  </x:si>
  <x:si>
    <x:t xml:space="preserve">Verified Current Campaign Count by Category – Merchant Offers Excluded</x:t>
  </x:si>
  <x:si>
    <x:t xml:space="preserve">Campaign Category</x:t>
  </x:si>
  <x:si>
    <x:t xml:space="preserve">Market Count</x:t>
  </x:si>
  <x:si>
    <x:t xml:space="preserve">Other</x:t>
  </x:si>
  <x:si>
    <x:t xml:space="preserve">Market Total</x:t>
  </x:si>
  <x:si>
    <x:t xml:space="preserve">Merchant Offers Portfolio – Reference Only (Not Counted as Campaigns)</x:t>
  </x:si>
  <x:si>
    <x:t xml:space="preserve">Total Merchant Offers</x:t>
  </x:si>
  <x:si>
    <x:t xml:space="preserve">Current / Undated</x:t>
  </x:si>
  <x:si>
    <x:t xml:space="preserve">Dynamic Management Signals</x:t>
  </x:si>
  <x:si>
    <x:t xml:space="preserve">Directly Verified Campaign Publications by Social Platform – Merchant Excluded</x:t>
  </x:si>
  <x:si>
    <x:t xml:space="preserve">Instagram</x:t>
  </x:si>
  <x:si>
    <x:t xml:space="preserve">X</x:t>
  </x:si>
  <x:si>
    <x:t xml:space="preserve">Facebook</x:t>
  </x:si>
  <x:si>
    <x:t xml:space="preserve">TikTok</x:t>
  </x:si>
  <x:si>
    <x:t xml:space="preserve">Multi-platform Campaigns</x:t>
  </x:si>
  <x:si>
    <x:t xml:space="preserve">Reporting Convention and Rationale</x:t>
  </x:si>
  <x:si>
    <x:t xml:space="preserve">• Campaign KPIs exclude Merchant records. Individual partner discounts are treated as promotional offers/tactics within a Merchant Offers Portfolio.</x:t>
  </x:si>
  <x:si>
    <x:t xml:space="preserve">• Do not create one artificial campaign per merchant. If a management roll-up is required, use the program label “Merchant Offers Portfolio” rather than counting each merchant as a campaign.</x:t>
  </x:si>
  <x:si>
    <x:t xml:space="preserve">• Published Social Platforms and the platform matrix use only direct specific official post URLs. A campaign may count in multiple platform columns when separate official posts were verified.</x:t>
  </x:si>
  <x:si>
    <x:t xml:space="preserve">• Remittance is the priority target category and is highlighted in blue throughout the workbook.</x:t>
  </x:si>
  <x:si>
    <x:t xml:space="preserve">STC Bank – Verified Campaign Inventory</x:t>
  </x:si>
  <x:si>
    <x:t xml:space="preserve">Campaign KPIs exclude Merchant records. Merchant offers remain available as a reference portfolio.</x:t>
  </x:si>
  <x:si>
    <x:t xml:space="preserve">Blue rows = Remittance priority | Gold rows = Merchant reference only | Published Social Platforms uses direct specific post links only</x:t>
  </x:si>
  <x:si>
    <x:t xml:space="preserve">Verified Campaigns</x:t>
  </x:si>
  <x:si>
    <x:t xml:space="preserve">Record ID</x:t>
  </x:si>
  <x:si>
    <x:t xml:space="preserve">Campaign Name</x:t>
  </x:si>
  <x:si>
    <x:t xml:space="preserve">Summary</x:t>
  </x:si>
  <x:si>
    <x:t xml:space="preserve">Published Date</x:t>
  </x:si>
  <x:si>
    <x:t xml:space="preserve">Start Date</x:t>
  </x:si>
  <x:si>
    <x:t xml:space="preserve">End Date</x:t>
  </x:si>
  <x:si>
    <x:t xml:space="preserve">Days Remaining</x:t>
  </x:si>
  <x:si>
    <x:t xml:space="preserve">Current Status</x:t>
  </x:si>
  <x:si>
    <x:t xml:space="preserve">Operation Type</x:t>
  </x:si>
  <x:si>
    <x:t xml:space="preserve">Mechanic / Offer</x:t>
  </x:si>
  <x:si>
    <x:t xml:space="preserve">Eligibility / Product</x:t>
  </x:si>
  <x:si>
    <x:t xml:space="preserve">Primary Official Source URL</x:t>
  </x:si>
  <x:si>
    <x:t xml:space="preserve">Official Campaign Page URL</x:t>
  </x:si>
  <x:si>
    <x:t xml:space="preserve">Instagram Post URL</x:t>
  </x:si>
  <x:si>
    <x:t xml:space="preserve">X Post URL</x:t>
  </x:si>
  <x:si>
    <x:t xml:space="preserve">Facebook Post URL</x:t>
  </x:si>
  <x:si>
    <x:t xml:space="preserve">TikTok Post URL</x:t>
  </x:si>
  <x:si>
    <x:t xml:space="preserve">Terms / Timing Note</x:t>
  </x:si>
  <x:si>
    <x:t xml:space="preserve">Last Reviewed</x:t>
  </x:si>
  <x:si>
    <x:t xml:space="preserve">Published Social Platforms</x:t>
  </x:si>
  <x:si>
    <x:t xml:space="preserve">0% International Transaction Fees and Free Cash Withdrawals</x:t>
  </x:si>
  <x:si>
    <x:t xml:space="preserve">0% fees on eligible international POS transactions and free withdrawals from international ATMs.</x:t>
  </x:si>
  <x:si>
    <x:t xml:space="preserve">International POS purchases and international ATM withdrawals</x:t>
  </x:si>
  <x:si>
    <x:t xml:space="preserve">0% international transaction fees and free international ATM withdrawals</x:t>
  </x:si>
  <x:si>
    <x:t xml:space="preserve">STC Bank Visa Classic, Platinum, and Signature debit cards; credit cards excluded</x:t>
  </x:si>
  <x:si>
    <x:t xml:space="preserve">https://stcbank.com.sa/en/web/guest/w/international-purchases-with-0-fees</x:t>
  </x:si>
  <x:si>
    <x:t xml:space="preserve">https://www.instagram.com/reel/DbJS1RtM2Ed/</x:t>
  </x:si>
  <x:si>
    <x:t xml:space="preserve">https://x.com/stcbank_ksa/status/2080356315206176795</x:t>
  </x:si>
  <x:si>
    <x:t xml:space="preserve">https://www.facebook.com/share/v/18sMRBBuse/</x:t>
  </x:si>
  <x:si>
    <x:t xml:space="preserve">https://www.tiktok.com/@stcbank_ksa/video/7657549142540979477?is_from_webapp=1&amp;sender_device=pc&amp;web_id=7646835061455799828</x:t>
  </x:si>
  <x:si>
    <x:t xml:space="preserve">International Spending Travel Voucher Campaign</x:t>
  </x:si>
  <x:si>
    <x:t xml:space="preserve">The ten highest international spenders each week receive an Almatar travel voucher.</x:t>
  </x:si>
  <x:si>
    <x:t xml:space="preserve">International POS and e-commerce purchases</x:t>
  </x:si>
  <x:si>
    <x:t xml:space="preserve">100 travel vouchers worth SAR 10,000 each for weekly top spenders</x:t>
  </x:si>
  <x:si>
    <x:t xml:space="preserve">https://www.instagram.com/reel/DbJTohBs04q/</x:t>
  </x:si>
  <x:si>
    <x:t xml:space="preserve">https://x.com/stcbank_ksa/status/2071588243682832478</x:t>
  </x:si>
  <x:si>
    <x:t xml:space="preserve">https://www.facebook.com/share/v/1BoJpH5Xnd/</x:t>
  </x:si>
  <x:si>
    <x:t xml:space="preserve">Visa Card Rewards: iPhone 17 Pro and Apple Watch</x:t>
  </x:si>
  <x:si>
    <x:t xml:space="preserve">Monthly iPhone rewards for top spenders and weekly Apple Watch rewards for qualifying purchases.</x:t>
  </x:si>
  <x:si>
    <x:t xml:space="preserve">Domestic and international POS and e-commerce purchases</x:t>
  </x:si>
  <x:si>
    <x:t xml:space="preserve">12 iPhone 17 Pro devices and 144 Apple Watches</x:t>
  </x:si>
  <x:si>
    <x:t xml:space="preserve">https://stcbank.com.sa/en/web/guest/w/visa_cards_rewards</x:t>
  </x:si>
  <x:si>
    <x:t xml:space="preserve">STC Bank Credit Card Launch</x:t>
  </x:si>
  <x:si>
    <x:t xml:space="preserve">Credit cards promoted with flexible cashback of up to 10% on selected categories and 1% on other purchases.</x:t>
  </x:si>
  <x:si>
    <x:t xml:space="preserve">Credit-card purchases</x:t>
  </x:si>
  <x:si>
    <x:t xml:space="preserve">Flexible category cashback of up to 10%</x:t>
  </x:si>
  <x:si>
    <x:t xml:space="preserve">STC Bank credit-card customers</x:t>
  </x:si>
  <x:si>
    <x:t xml:space="preserve">https://www.instagram.com/reel/DWots29j8fx/?hl=en</x:t>
  </x:si>
  <x:si>
    <x:t xml:space="preserve">https://x.com/stcbank_ksa/status/2071639841348124772</x:t>
  </x:si>
  <x:si>
    <x:t xml:space="preserve">https://www.facebook.com/share/v/1CqU3VtD85/</x:t>
  </x:si>
  <x:si>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</x:si>
  <x:si>
    <x:t xml:space="preserve">Merchant</x:t>
  </x:si>
  <x:si>
    <x:t xml:space="preserve">Almatar: Up to 10% Off</x:t>
  </x:si>
  <x:si>
    <x:t xml:space="preserve">Discounts on hotel and flight bookings through Almatar.</x:t>
  </x:si>
  <x:si>
    <x:t xml:space="preserve">Flight and hotel bookings</x:t>
  </x:si>
  <x:si>
    <x:t xml:space="preserve">10% off hotels with STCB10 and 5% off flights with STCB5</x:t>
  </x:si>
  <x:si>
    <x:t xml:space="preserve">All STC Bank cards</x:t>
  </x:si>
  <x:si>
    <x:t xml:space="preserve">https://stcbank.com.sa/en/web/guest/w/almatar-offer</x:t>
  </x:si>
  <x:si>
    <x:t xml:space="preserve">Whites: Up to 15% Off</x:t>
  </x:si>
  <x:si>
    <x:t xml:space="preserve">15% off online purchases and 10% off in stores.</x:t>
  </x:si>
  <x:si>
    <x:t xml:space="preserve">Beauty and healthcare retail</x:t>
  </x:si>
  <x:si>
    <x:t xml:space="preserve">15% online and 10% in stores; minimum spend SAR 200; maximum discount SAR 100</x:t>
  </x:si>
  <x:si>
    <x:t xml:space="preserve">STC Bank cards</x:t>
  </x:si>
  <x:si>
    <x:t xml:space="preserve">https://stcbank.com.sa/en/web/guest/w/whites-offer</x:t>
  </x:si>
  <x:si>
    <x:t xml:space="preserve">Huawei Device and Accessory Offers</x:t>
  </x:si>
  <x:si>
    <x:t xml:space="preserve">Special prices and selected gifts on eligible Huawei devices and accessories.</x:t>
  </x:si>
  <x:si>
    <x:t xml:space="preserve">Electronics purchases</x:t>
  </x:si>
  <x:si>
    <x:t xml:space="preserve">Special prices and gifts on selected devices</x:t>
  </x:si>
  <x:si>
    <x:t xml:space="preserve">https://stcbank.com.sa/en/web/guest/w/huawei</x:t>
  </x:si>
  <x:si>
    <x:t xml:space="preserve">Loca Beauty: 15% Off</x:t>
  </x:si>
  <x:si>
    <x:t xml:space="preserve">15% off online purchases using promo code STCB15.</x:t>
  </x:si>
  <x:si>
    <x:t xml:space="preserve">Online beauty purchases</x:t>
  </x:si>
  <x:si>
    <x:t xml:space="preserve">15% discount using code STCB15</x:t>
  </x:si>
  <x:si>
    <x:t xml:space="preserve">STC Bank Visa Classic, Platinum, and Signature cards</x:t>
  </x:si>
  <x:si>
    <x:t xml:space="preserve">https://stcbank.com.sa/en/web/guest/w/loca</x:t>
  </x:si>
  <x:si>
    <x:t xml:space="preserve">Canton: 15% Off</x:t>
  </x:si>
  <x:si>
    <x:t xml:space="preserve">15% off eligible online purchases using promo code STCB15.</x:t>
  </x:si>
  <x:si>
    <x:t xml:space="preserve">E-commerce purchases</x:t>
  </x:si>
  <x:si>
    <x:t xml:space="preserve">https://stcbank.com.sa/en/web/guest/w/canton-offer</x:t>
  </x:si>
  <x:si>
    <x:t xml:space="preserve">Dr. Nutrition: Up to 10% Off</x:t>
  </x:si>
  <x:si>
    <x:t xml:space="preserve">5% to 10% discounts on selected health and nutrition categories.</x:t>
  </x:si>
  <x:si>
    <x:t xml:space="preserve">Health and nutrition purchases</x:t>
  </x:si>
  <x:si>
    <x:t xml:space="preserve">5% to 10% discount using code STCB</x:t>
  </x:si>
  <x:si>
    <x:t xml:space="preserve">https://stcbank.com.sa/en/web/guest/w/boost-your-health</x:t>
  </x:si>
  <x:si>
    <x:t xml:space="preserve">GO Sport: 10% Off</x:t>
  </x:si>
  <x:si>
    <x:t xml:space="preserve">10% off eligible online purchases using promo code STCB.</x:t>
  </x:si>
  <x:si>
    <x:t xml:space="preserve">Sports retail purchases</x:t>
  </x:si>
  <x:si>
    <x:t xml:space="preserve">10% discount using code STCB</x:t>
  </x:si>
  <x:si>
    <x:t xml:space="preserve">https://stcbank.com.sa/en/web/guest/w/shop-workout-and-save-with-10-off-on-gosport</x:t>
  </x:si>
  <x:si>
    <x:t xml:space="preserve">iHerb: Up to 25% Off</x:t>
  </x:si>
  <x:si>
    <x:t xml:space="preserve">Visa discounts for new and existing iHerb customers.</x:t>
  </x:si>
  <x:si>
    <x:t xml:space="preserve">Health and wellness e-commerce purchases</x:t>
  </x:si>
  <x:si>
    <x:t xml:space="preserve">Up to 25% off for new customers and 10% for existing customers</x:t>
  </x:si>
  <x:si>
    <x:t xml:space="preserve">Eligible STC Bank Visa cards</x:t>
  </x:si>
  <x:si>
    <x:t xml:space="preserve">https://stcbank.com.sa/en/web/guest/w/iherb-offer</x:t>
  </x:si>
  <x:si>
    <x:t xml:space="preserve">Abdullah Al Othaim Entertainment</x:t>
  </x:si>
  <x:si>
    <x:t xml:space="preserve">Bonus credit and discounts across selected family-entertainment destinations.</x:t>
  </x:si>
  <x:si>
    <x:t xml:space="preserve">Family entertainment</x:t>
  </x:si>
  <x:si>
    <x:t xml:space="preserve">Bonus credit and discounts ranging from 20% to 30%</x:t>
  </x:si>
  <x:si>
    <x:t xml:space="preserve">https://stcbank.com.sa/en/web/guest/w/alothaim-entertainment</x:t>
  </x:si>
  <x:si>
    <x:t xml:space="preserve">Yelo: 10% Off</x:t>
  </x:si>
  <x:si>
    <x:t xml:space="preserve">10% off eligible bookings through the Yelo website and app.</x:t>
  </x:si>
  <x:si>
    <x:t xml:space="preserve">Car rental</x:t>
  </x:si>
  <x:si>
    <x:t xml:space="preserve">10% discount using code STCB1</x:t>
  </x:si>
  <x:si>
    <x:t xml:space="preserve">STC Bank mada and credit cards</x:t>
  </x:si>
  <x:si>
    <x:t xml:space="preserve">https://stcbank.com.sa/en/web/guest/w/yelo</x:t>
  </x:si>
  <x:si>
    <x:t xml:space="preserve">STC Bank Championship</x:t>
  </x:si>
  <x:si>
    <x:t xml:space="preserve">Daily football quiz campaign with prizes for leading participants.</x:t>
  </x:si>
  <x:si>
    <x:t xml:space="preserve">In-app engagement</x:t>
  </x:si>
  <x:si>
    <x:t xml:space="preserve">Daily leaderboard and prizes</x:t>
  </x:si>
  <x:si>
    <x:t xml:space="preserve">STC Bank app customers</x:t>
  </x:si>
  <x:si>
    <x:t xml:space="preserve">https://stcbank.com.sa/en/web/guest/w/stcbank-championship</x:t>
  </x:si>
  <x:si>
    <x:t xml:space="preserve">https://www.instagram.com/reel/DZdT9oVs4pw/?hl=en</x:t>
  </x:si>
  <x:si>
    <x:t xml:space="preserve">https://x.com/stcbank_ksa/status/2065159633942274387</x:t>
  </x:si>
  <x:si>
    <x:t xml:space="preserve">https://www.facebook.com/share/v/1EMLYL7XMs/</x:t>
  </x:si>
  <x:si>
    <x:t xml:space="preserve">https://www.tiktok.com/@stcbank_ksa/video/7650240341047725333?is_from_webapp=1&amp;sender_device=pc&amp;web_id=7646835061455799828</x:t>
  </x:si>
  <x:si>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</x:si>
  <x:si>
    <x:t xml:space="preserve">barq – Verified Campaign Inventory</x:t>
  </x:si>
  <x:si>
    <x:t xml:space="preserve">barq Marathon</x:t>
  </x:si>
  <x:si>
    <x:t xml:space="preserve">Transaction-based points and competition with a large prize pool and winner base.</x:t>
  </x:si>
  <x:si>
    <x:t xml:space="preserve">Card usage and in-app engagement</x:t>
  </x:si>
  <x:si>
    <x:t xml:space="preserve">Prize pool increased to SAR 500,000 and 20,000 winners</x:t>
  </x:si>
  <x:si>
    <x:t xml:space="preserve">barq Visa customers</x:t>
  </x:si>
  <x:si>
    <x:t xml:space="preserve">https://www.instagram.com/reel/DYxvJOWiZY5/</x:t>
  </x:si>
  <x:si>
    <x:t xml:space="preserve">https://www.facebook.com/share/p/1BbFALsFYP/</x:t>
  </x:si>
  <x:si>
    <x:t xml:space="preserve">Campaign end date is not stated in the official post.</x:t>
  </x:si>
  <x:si>
    <x:t xml:space="preserve">Prediction Game</x:t>
  </x:si>
  <x:si>
    <x:t xml:space="preserve">In-app match prediction game with a prize pool of up to SAR 500,000.</x:t>
  </x:si>
  <x:si>
    <x:t xml:space="preserve">In-app sports engagement</x:t>
  </x:si>
  <x:si>
    <x:t xml:space="preserve">Prediction game with prizes worth up to SAR 500,000</x:t>
  </x:si>
  <x:si>
    <x:t xml:space="preserve">barq app customers</x:t>
  </x:si>
  <x:si>
    <x:t xml:space="preserve">https://www.facebook.com/usebarq/posts/update-your-barq-app-and-join-the-prediction-game-win-your-share-of-prizes-worth/122197690844385166/</x:t>
  </x:si>
  <x:si>
    <x:t xml:space="preserve">Almatar Travel Offer</x:t>
  </x:si>
  <x:si>
    <x:t xml:space="preserve">Discounts on international flights and hotels when paying with barq Visa.</x:t>
  </x:si>
  <x:si>
    <x:t xml:space="preserve">Up to 10% off international flights and 25% off hotels</x:t>
  </x:si>
  <x:si>
    <x:t xml:space="preserve">https://www.facebook.com/usebarq/posts/planning-a-trip-%EF%B8%8Fbook-through-almatarapp-with-your-barq-visa-and-get-up-to-10-of/122178668528385166/</x:t>
  </x:si>
  <x:si>
    <x:t xml:space="preserve">Zero-Fee International Transfers</x:t>
  </x:si>
  <x:si>
    <x:t xml:space="preserve">Fee-free international transfers to selected destinations and payout channels.</x:t>
  </x:si>
  <x:si>
    <x:t xml:space="preserve">International transfers</x:t>
  </x:si>
  <x:si>
    <x:t xml:space="preserve">Zero transfer fees on eligible transfers</x:t>
  </x:si>
  <x:si>
    <x:t xml:space="preserve">barq customers; destination and payout-channel terms apply</x:t>
  </x:si>
  <x:si>
    <x:t xml:space="preserve">https://www.instagram.com/p/Dazzjtdt1Jt/?utm_source=ig_web_button_share_sheet&amp;igsh=MzRlODBiNWFlZA==</x:t>
  </x:si>
  <x:si>
    <x:t xml:space="preserve">Zero Travel Fees with barq Visa</x:t>
  </x:si>
  <x:si>
    <x:t xml:space="preserve">Use your barq card while travelling and barq covers the applicable travel fees.</x:t>
  </x:si>
  <x:si>
    <x:t xml:space="preserve">International card spending / Travel card usage
Mechanic / Offer: Travel-related card fees covered by barq
Eligibility / Product: barq cardholders</x:t>
  </x:si>
  <x:si>
    <x:t xml:space="preserve">https://www.instagram.com/p/DbAtiuQNGlf/</x:t>
  </x:si>
  <x:si>
    <x:t xml:space="preserve">https://x.com/barq/status/2078084305327206575</x:t>
  </x:si>
  <x:si>
    <x:t xml:space="preserve">https://www.tiktok.com/@barq/video/7666817781014252821?is_from_webapp=1&amp;sender_device=pc&amp;web_id=7646835061455799828</x:t>
  </x:si>
  <x:si>
    <x:t xml:space="preserve">FX Rate Awareness Campaign</x:t>
  </x:si>
  <x:si>
    <x:t xml:space="preserve">International transfers / FX rate awareness</x:t>
  </x:si>
  <x:si>
    <x:t xml:space="preserve">All barq customers using international transfers</x:t>
  </x:si>
  <x:si>
    <x:t xml:space="preserve">Educational campaign explaining exchange rates and how they affect the received amount in international transfers.</x:t>
  </x:si>
  <x:si>
    <x:t xml:space="preserve">https://www.instagram.com/reel/DaaydiADUvg/?utm_source=ig_web_button_share_sheet&amp;igsh=MzRlODBiNWFlZA==</x:t>
  </x:si>
  <x:si>
    <x:t xml:space="preserve">Mobily Pay – Verified Campaign Inventory</x:t>
  </x:si>
  <x:si>
    <x:t xml:space="preserve">https://www.instagram.com/p/DaVcH86Euq7/</x:t>
  </x:si>
  <x:si>
    <x:t xml:space="preserve">https://x.com/MobilyPay/status/2066845533692707064</x:t>
  </x:si>
  <x:si>
    <x:t xml:space="preserve">https://www.facebook.com/share/p/14qaPGWCJRZ/</x:t>
  </x:si>
  <x:si>
    <x:t xml:space="preserve">https://www.instagram.com/reel/DZuhOEDFRNn/</x:t>
  </x:si>
  <x:si>
    <x:t xml:space="preserve">https://www.facebook.com/mobilypay/videos/transfer-now/829680072943900/</x:t>
  </x:si>
  <x:si>
    <x:t xml:space="preserve">Weekly International Transfer Prizes – Up to SAR 20,000</x:t>
  </x:si>
  <x:si>
    <x:t xml:space="preserve">International transfers generate entries for weekly prizes of up to SAR 20,000.</x:t>
  </x:si>
  <x:si>
    <x:t xml:space="preserve">Weekly prizes up to SAR 20,000; no minimum transfer stated in the post</x:t>
  </x:si>
  <x:si>
    <x:t xml:space="preserve">Mobily Pay international-transfer customers</x:t>
  </x:si>
  <x:si>
    <x:t xml:space="preserve">https://www.facebook.com/mobilypay/videos/sar-20000-is-waiting-for-you-make-an-international-transfer-with-mobilypay-and-i/4300117560266135/</x:t>
  </x:si>
  <x:si>
    <x:t xml:space="preserve">Campaign end date is not stated in the official video.</x:t>
  </x:si>
  <x:si>
    <x:t xml:space="preserve">Alpha Medical Laboratories: 50% Off</x:t>
  </x:si>
  <x:si>
    <x:t xml:space="preserve">50% off individual laboratory tests.</x:t>
  </x:si>
  <x:si>
    <x:t xml:space="preserve">Healthcare and laboratory services</x:t>
  </x:si>
  <x:si>
    <x:t xml:space="preserve">50% discount on individual laboratory tests</x:t>
  </x:si>
  <x:si>
    <x:t xml:space="preserve">Mobily Pay Platinum and Signature cards</x:t>
  </x:si>
  <x:si>
    <x:t xml:space="preserve">https://mobilypay.sa/offer-details.html?id=offer-6</x:t>
  </x:si>
  <x:si>
    <x:t xml:space="preserve">Offer applies to individual tests under the official terms.</x:t>
  </x:si>
  <x:si>
    <x:t xml:space="preserve">Summer Card Offers – Fees on Us &amp; Up to 2% Cashback</x:t>
  </x:si>
  <x:si>
    <x:t xml:space="preserve">Summer campaign offering 0% fees on eligible international card transactions, cashback of up to 2%, and free issuance of the physical Mobily Pay card.</x:t>
  </x:si>
  <x:si>
    <x:t xml:space="preserve">Mobily Pay cardholders; eligible card types and transactions are subject to the official terms and conditions.</x:t>
  </x:si>
  <x:si>
    <x:t xml:space="preserve">0% fees on eligible international card transactions, cashback up to 2%, and free physical card issuance.</x:t>
  </x:si>
  <x:si>
    <x:t xml:space="preserve">https://mobilypay.sa/offer-details.html?id=offer-53</x:t>
  </x:si>
  <x:si>
    <x:t xml:space="preserve">https://x.com/MobilyPay/status/2080699530656510080</x:t>
  </x:si>
  <x:si>
    <x:t xml:space="preserve">https://www.facebook.com/mobilypay/posts/1481106724035443/</x:t>
  </x:si>
  <x:si>
    <x:t xml:space="preserve">https://www.tiktok.com/@mobilypay/video/7666785860884434183?is_from_webapp=1&amp;sender_device=pc&amp;web_id=7646835061455799828</x:t>
  </x:si>
  <x:si>
    <x:t xml:space="preserve">30% Bonus Alfursan Miles</x:t>
  </x:si>
  <x:si>
    <x:t xml:space="preserve">Convert eligible Mobily Pay Xp+ points into Alfursan Miles and receive 30% additional bonus miles.</x:t>
  </x:si>
  <x:si>
    <x:t xml:space="preserve">Loyalty points conversion / Alfursan Miles</x:t>
  </x:si>
  <x:si>
    <x:t xml:space="preserve">30% bonus Alfursan Miles when converting eligible Mobily Pay Xp+ points into Alfursan Miles.</x:t>
  </x:si>
  <x:si>
    <x:t xml:space="preserve">Mobily Pay customers with eligible Xp+ points and an active Alfursan membership.</x:t>
  </x:si>
  <x:si>
    <x:t xml:space="preserve">https://mobilypay.sa/offer-details.html?id=offer-54</x:t>
  </x:si>
  <x:si>
    <x:t xml:space="preserve">https://www.instagram.com/p/DbDoZvgjlV9/</x:t>
  </x:si>
  <x:si>
    <x:t xml:space="preserve">https://x.com/MobilyPay/status/2080986707143413921</x:t>
  </x:si>
  <x:si>
    <x:t xml:space="preserve">https://www.facebook.com/mobilypay/posts/1478454067634042/</x:t>
  </x:si>
  <x:si>
    <x:t xml:space="preserve">tiqmo – Verified Campaign Inventory</x:t>
  </x:si>
  <x:si>
    <x:t xml:space="preserve">SADAD Daily Cashback</x:t>
  </x:si>
  <x:si>
    <x:t xml:space="preserve">Pay a SADAD bill for a daily chance to win SAR 1,000 cashback.</x:t>
  </x:si>
  <x:si>
    <x:t xml:space="preserve">SADAD bill payments</x:t>
  </x:si>
  <x:si>
    <x:t xml:space="preserve">Daily draw for SAR 1,000 cashback</x:t>
  </x:si>
  <x:si>
    <x:t xml:space="preserve">tiqmo customers using SADAD</x:t>
  </x:si>
  <x:si>
    <x:t xml:space="preserve">https://www.instagram.com/tiqmoksa/p/DbLZ9Yfj6dy/</x:t>
  </x:si>
  <x:si>
    <x:t xml:space="preserve">https://x.com/tiqmo/status/2080654590756978954</x:t>
  </x:si>
  <x:si>
    <x:t xml:space="preserve">https://www.facebook.com/Tiqmoksa/videos/sar-1000-cashback-every-daypay-your-bills-through-sadad-tiqmo-and-enter-the-dail/28285312344409396/</x:t>
  </x:si>
  <x:si>
    <x:t xml:space="preserve">Unlimited 5% Off Game Vouchers</x:t>
  </x:si>
  <x:si>
    <x:t xml:space="preserve">Unlimited 5% discount on eligible gaming vouchers.</x:t>
  </x:si>
  <x:si>
    <x:t xml:space="preserve">Gaming-voucher purchases</x:t>
  </x:si>
  <x:si>
    <x:t xml:space="preserve">Unlimited 5% discount</x:t>
  </x:si>
  <x:si>
    <x:t xml:space="preserve">Eligible tiqmo card purchases</x:t>
  </x:si>
  <x:si>
    <x:t xml:space="preserve">https://www.instagram.com/tiqmoksa/p/DbJJsK0IEPD/</x:t>
  </x:si>
  <x:si>
    <x:t xml:space="preserve">100% Cashback on International Transfers – May Edition</x:t>
  </x:si>
  <x:si>
    <x:t xml:space="preserve">International transfers entered a daily draw for a chance to receive the full transfer amount back.</x:t>
  </x:si>
  <x:si>
    <x:t xml:space="preserve">100% cashback on the transfer amount; 10 daily winners; no minimum stated</x:t>
  </x:si>
  <x:si>
    <x:t xml:space="preserve">tiqmo international-transfer customers</x:t>
  </x:si>
  <x:si>
    <x:t xml:space="preserve">https://www.instagram.com/p/DXR2gtKkiRW/</x:t>
  </x:si>
  <x:si>
    <x:t xml:space="preserve">https://x.com/tiqmo/status/2069088275881677303</x:t>
  </x:si>
  <x:si>
    <x:t xml:space="preserve">https://www.facebook.com/Tiqmoksa/posts/tiqmo-is-everywhereenjoy-100-cashback-on-international-transfers-with-10-daily-w/943640441763288/
https://www.facebook.com/Tiqmoksa/photos/congrats-may-11-100-cashback-winners-are-herehttpstiqmogolinkjxfro/966768766117122/</x:t>
  </x:si>
  <x:si>
    <x:t xml:space="preserve">Monthly International Transfer Streak Cashback</x:t>
  </x:si>
  <x:si>
    <x:t xml:space="preserve">Transfer SAR 1,500 or more internationally each month to receive increasing monthly cashback while maintaining the monthly streak.</x:t>
  </x:si>
  <x:si>
    <x:t xml:space="preserve">SAR 1,500+ monthly transfer threshold, increasing monthly cashback, and zero transfer fees</x:t>
  </x:si>
  <x:si>
    <x:t xml:space="preserve">tiqmo customers making qualifying monthly international transfers</x:t>
  </x:si>
  <x:si>
    <x:t xml:space="preserve">https://www.instagram.com/p/DbBUcjiIHS1/</x:t>
  </x:si>
  <x:si>
    <x:t xml:space="preserve">https://x.com/tiqmo/status/2079235327240368574</x:t>
  </x:si>
  <x:si>
    <x:t xml:space="preserve">https://www.facebook.com/Tiqmoksa/posts/your-monthly-cashback-is-heretransfer-internationally-sar-1500-or-more-every-mon/1027166950077303/</x:t>
  </x:si>
  <x:si>
    <x:t xml:space="preserve">Current official posts continue to promote Monthly Streak Rewards. The official post does not state a campaign end date.</x:t>
  </x:si>
  <x:si>
    <x:t xml:space="preserve">https://www.instagram.com/p/DbQxYrrjfrH/</x:t>
  </x:si>
  <x:si>
    <x:t xml:space="preserve">https://x.com/tiqmo/status/2081409451844870239</x:t>
  </x:si>
  <x:si>
    <x:t xml:space="preserve">https://www.facebook.com/Tiqmoksa/videos/1605667747644721/</x:t>
  </x:si>
  <x:si>
    <x:t xml:space="preserve">https://www.tiktok.com/@tiqmoksa/video/7666867037418867985</x:t>
  </x:si>
  <x:si>
    <x:t xml:space="preserve">urpay – Verified Campaign Inventory</x:t>
  </x:si>
  <x:si>
    <x:t xml:space="preserve">Visa Platinum Cashback Game</x:t>
  </x:si>
  <x:si>
    <x:t xml:space="preserve">Eligible Visa purchases generate in-app game chances, with cashback up to 100% of the transaction amount.</x:t>
  </x:si>
  <x:si>
    <x:t xml:space="preserve">Visa card purchases</x:t>
  </x:si>
  <x:si>
    <x:t xml:space="preserve">Up to 100% cashback; international POS transactions provide two game chances; rewards can reach SAR 100,000</x:t>
  </x:si>
  <x:si>
    <x:t xml:space="preserve">urpay Visa Platinum customers</x:t>
  </x:si>
  <x:si>
    <x:t xml:space="preserve">https://www.urpay.com.sa/en/cashback-system</x:t>
  </x:si>
  <x:si>
    <x:t xml:space="preserve">https://x.com/urpay_sa/status/2079219785200554454</x:t>
  </x:si>
  <x:si>
    <x:t xml:space="preserve">https://www.facebook.com/urpay.sa/videos/every-transaction-you-make-with-your-urpay-platinum-visa-card-comes-with-a-game-/2276237546140896/</x:t>
  </x:si>
  <x:si>
    <x:t xml:space="preserve">Game chances must be used within 24 hours. A monthly rewards game unlocks after SAR 1,500 cumulative spend.</x:t>
  </x:si>
  <x:si>
    <x:t xml:space="preserve">ALHABIB Bedding: 5% Off</x:t>
  </x:si>
  <x:si>
    <x:t xml:space="preserve">5% off eligible products using promo code urpay.</x:t>
  </x:si>
  <x:si>
    <x:t xml:space="preserve">Home retail purchases</x:t>
  </x:si>
  <x:si>
    <x:t xml:space="preserve">5% discount using code urpay</x:t>
  </x:si>
  <x:si>
    <x:t xml:space="preserve">All urpay cards</x:t>
  </x:si>
  <x:si>
    <x:t xml:space="preserve">https://www.urpay.com.sa/en/urpay-offers/alhabibbedding</x:t>
  </x:si>
  <x:si>
    <x:t xml:space="preserve">Can be used more than once and cannot be combined with other promotions.</x:t>
  </x:si>
  <x:si>
    <x:t xml:space="preserve">SQUATWOLF: Up to 10% Off</x:t>
  </x:si>
  <x:si>
    <x:t xml:space="preserve">Up to 10% off selected products using promo code R29.</x:t>
  </x:si>
  <x:si>
    <x:t xml:space="preserve">Sportswear e-commerce purchases</x:t>
  </x:si>
  <x:si>
    <x:t xml:space="preserve">Up to 10% discount using code R29</x:t>
  </x:si>
  <x:si>
    <x:t xml:space="preserve">urpay cards only</x:t>
  </x:si>
  <x:si>
    <x:t xml:space="preserve">https://www.urpay.com.sa/en/urpay-offers/squatwolf</x:t>
  </x:si>
  <x:si>
    <x:t xml:space="preserve">Digital-wallet payments are excluded; selected products only.</x:t>
  </x:si>
  <x:si>
    <x:t xml:space="preserve">MAGRABi: Up to 10% Off</x:t>
  </x:si>
  <x:si>
    <x:t xml:space="preserve">Up to 10% off eligible purchases using promo code URPAY.</x:t>
  </x:si>
  <x:si>
    <x:t xml:space="preserve">Optical retail purchases</x:t>
  </x:si>
  <x:si>
    <x:t xml:space="preserve">Up to 10% discount using code URPAY</x:t>
  </x:si>
  <x:si>
    <x:t xml:space="preserve">https://www.urpay.com.sa/en/urpay-offers/mag</x:t>
  </x:si>
  <x:si>
    <x:t xml:space="preserve">Cartier products are excluded. The offer may be used more than once.</x:t>
  </x:si>
  <x:si>
    <x:t xml:space="preserve">Bath &amp; Body Works: Up to 5% Off</x:t>
  </x:si>
  <x:si>
    <x:t xml:space="preserve">Up to 5% off eligible purchases using promo code VN1N.</x:t>
  </x:si>
  <x:si>
    <x:t xml:space="preserve">Beauty and personal-care purchases</x:t>
  </x:si>
  <x:si>
    <x:t xml:space="preserve">Up to 5% discount using code VN1N</x:t>
  </x:si>
  <x:si>
    <x:t xml:space="preserve">https://www.urpay.com.sa/en/urpay-offers/b-bw</x:t>
  </x:si>
  <x:si>
    <x:t xml:space="preserve">May be used more than once and cannot be combined with other promotions.</x:t>
  </x:si>
  <x:si>
    <x:t xml:space="preserve">Alnahdi Pharmacy: 5% Off</x:t>
  </x:si>
  <x:si>
    <x:t xml:space="preserve">5% off eligible full-price products, capped at SAR 25.</x:t>
  </x:si>
  <x:si>
    <x:t xml:space="preserve">Pharmacy e-commerce purchases</x:t>
  </x:si>
  <x:si>
    <x:t xml:space="preserve">5% discount capped at SAR 25 using code URPAY</x:t>
  </x:si>
  <x:si>
    <x:t xml:space="preserve">https://www.urpay.com.sa/en/urpay-offers/nadi-ph</x:t>
  </x:si>
  <x:si>
    <x:t xml:space="preserve">Valid on most full-price products on the Alnahdi app or website.</x:t>
  </x:si>
  <x:si>
    <x:t xml:space="preserve">iHerb Visa Offer</x:t>
  </x:si>
  <x:si>
    <x:t xml:space="preserve">Discounts for new and existing iHerb customers.</x:t>
  </x:si>
  <x:si>
    <x:t xml:space="preserve">25% off for new customers and 10% for existing customers</x:t>
  </x:si>
  <x:si>
    <x:t xml:space="preserve">Visa cardholders</x:t>
  </x:si>
  <x:si>
    <x:t xml:space="preserve">https://www.urpay.com.sa/en/urpay-offers/iherb</x:t>
  </x:si>
  <x:si>
    <x:t xml:space="preserve">Expired on 30 June 2026; retained for recent competitive context.</x:t>
  </x:si>
  <x:si>
    <x:t xml:space="preserve">Musaned Domestic Worker Salary Travel Ticket Draw</x:t>
  </x:si>
  <x:si>
    <x:t xml:space="preserve">Transfer a domestic worker's salary through Musaned in urpay and enter a draw to win a travel ticket for the worker to their home country.</x:t>
  </x:si>
  <x:si>
    <x:t xml:space="preserve">Domestic worker salary transfer through Musaned</x:t>
  </x:si>
  <x:si>
    <x:t xml:space="preserve">Salary transfer generates an entry into a travel-ticket prize draw</x:t>
  </x:si>
  <x:si>
    <x:t xml:space="preserve">urpay customers using the Musaned domestic-worker salary service</x:t>
  </x:si>
  <x:si>
    <x:t xml:space="preserve">https://x.com/urpay_sa/status/2074433249682845889</x:t>
  </x:si>
  <x:si>
    <x:t xml:space="preserve">The official post does not state a campaign end date.</x:t>
  </x:si>
  <x:si>
    <x:t xml:space="preserve">alinma pay – Verified Campaign Inventory</x:t>
  </x:si>
  <x:si>
    <x:t xml:space="preserve">Visa Signature: 2% Cashback</x:t>
  </x:si>
  <x:si>
    <x:t xml:space="preserve">2% cashback on restaurants, supermarkets, grocery stores, and fuel, capped at SAR 300.</x:t>
  </x:si>
  <x:si>
    <x:t xml:space="preserve">Everyday Visa Signature purchases</x:t>
  </x:si>
  <x:si>
    <x:t xml:space="preserve">2% cashback capped at SAR 300</x:t>
  </x:si>
  <x:si>
    <x:t xml:space="preserve">alinma pay Visa Signature card</x:t>
  </x:si>
  <x:si>
    <x:t xml:space="preserve">https://www.instagram.com/alinmapay/p/CC4JUxohSuN/</x:t>
  </x:si>
  <x:si>
    <x:t xml:space="preserve">https://x.com/alinmapay/status/2074871700508832252</x:t>
  </x:si>
  <x:si>
    <x:t xml:space="preserve">https://www.facebook.com/AlinmaPaySA/posts/weve-extended-the-offer-and-increased-the-limit-enjoy-up-to-2-cashback-with-the-/1632962732164891/</x:t>
  </x:si>
  <x:si>
    <x:t xml:space="preserve">Eligible merchant categories include restaurants, supermarkets, grocery stores, and fuel. Social verification: The official X post explicitly states the extended 2% cashback offer and the SAR 300 cap.</x:t>
  </x:si>
  <x:si>
    <x:t xml:space="preserve">Zero International Transaction Fees on Cashback Cards</x:t>
  </x:si>
  <x:si>
    <x:t xml:space="preserve">alinma pay Cashback Cards</x:t>
  </x:si>
  <x:si>
    <x:t xml:space="preserve">https://www.facebook.com/AlinmaPaySA/posts/%EF%B8%8F-fees-gonetravel-anywhere-and-use-your-alinmapay-cashback-cards-without-worryin/1619335260194305/</x:t>
  </x:si>
  <x:si>
    <x:t xml:space="preserve">International Transfers for SAR 5</x:t>
  </x:si>
  <x:si>
    <x:t xml:space="preserve">Flat SAR 5 transfer fee to multiple international corridors.</x:t>
  </x:si>
  <x:si>
    <x:t xml:space="preserve">International transfers through alinma pay Direct</x:t>
  </x:si>
  <x:si>
    <x:t xml:space="preserve">Flat SAR 5 transfer fee</x:t>
  </x:si>
  <x:si>
    <x:t xml:space="preserve">Transfers to listed destinations including the Philippines, Egypt, Bangladesh, Sri Lanka, Indonesia, Nepal, Jordan, and Morocco</x:t>
  </x:si>
  <x:si>
    <x:t xml:space="preserve">https://www.instagram.com/alinmapay/p/CC_U-JDB6yh/</x:t>
  </x:si>
  <x:si>
    <x:t xml:space="preserve">https://x.com/alinmapay/status/1978784486424035774</x:t>
  </x:si>
  <x:si>
    <x:t xml:space="preserve">https://www.facebook.com/AlinmaPaySA/posts/lower-fees-easier-transfers-send-money-to-india-and-bangladesh-through-alinmapay/1606878421439989/</x:t>
  </x:si>
  <x:si>
    <x:t xml:space="preserve">Campaign end date is not stated in the official post. Social verification: Official Instagram and X posts explicitly promote international transfers for a SAR 5 fee. The Instagram creative is a corridor-specific execution within the same offer.</x:t>
  </x:si>
  <x:si>
    <x:t xml:space="preserve">Zero-Fee Transfers to India from SAR 700</x:t>
  </x:si>
  <x:si>
    <x:t xml:space="preserve">Transfers of SAR 700 or more to Indian bank accounts are promoted with zero transfer fees.</x:t>
  </x:si>
  <x:si>
    <x:t xml:space="preserve">International transfers to India</x:t>
  </x:si>
  <x:si>
    <x:t xml:space="preserve">Zero transfer fee for transfers of SAR 700 or more</x:t>
  </x:si>
  <x:si>
    <x:t xml:space="preserve">alinma pay Direct customers transferring to eligible Indian bank accounts</x:t>
  </x:si>
  <x:si>
    <x:t xml:space="preserve">https://www.facebook.com/AlinmaPaySA/videos/zero-fees-fast-transfers-to-india/873682655502395/</x:t>
  </x:si>
  <x:si>
    <x:t xml:space="preserve">Campaign Classification and Reporting Guide</x:t>
  </x:si>
  <x:si>
    <x:t xml:space="preserve">Merchant offers are maintained as a separate reference portfolio and excluded from Campaign KPIs. Remittance is the priority category and is highlighted in blue.</x:t>
  </x:si>
  <x:si>
    <x:t xml:space="preserve">Record Type</x:t>
  </x:si>
  <x:si>
    <x:t xml:space="preserve">Counted as Campaign?</x:t>
  </x:si>
  <x:si>
    <x:t xml:space="preserve">Use When</x:t>
  </x:si>
  <x:si>
    <x:t xml:space="preserve">Examples</x:t>
  </x:si>
  <x:si>
    <x:t xml:space="preserve">Yes</x:t>
  </x:si>
  <x:si>
    <x:t xml:space="preserve">International transfers, transfer pricing, transfer cashback, or transfer prize draws.</x:t>
  </x:si>
  <x:si>
    <x:t xml:space="preserve">Zero-fee transfer; monthly transfer streak cashback</x:t>
  </x:si>
  <x:si>
    <x:t xml:space="preserve">Domestic-worker salary campaigns through Musaned.</x:t>
  </x:si>
  <x:si>
    <x:t xml:space="preserve">Salary transfer and travel-ticket draw</x:t>
  </x:si>
  <x:si>
    <x:t xml:space="preserve">Bill-payment campaigns through SADAD.</x:t>
  </x:si>
  <x:si>
    <x:t xml:space="preserve">SADAD daily cashback</x:t>
  </x:si>
  <x:si>
    <x:t xml:space="preserve">Card activation, issuance, spend, cashback, or network benefits.</x:t>
  </x:si>
  <x:si>
    <x:t xml:space="preserve">Visa cashback; zero international card fees</x:t>
  </x:si>
  <x:si>
    <x:t xml:space="preserve">Campaign-led games or competitions with a defined campaign mechanic.</x:t>
  </x:si>
  <x:si>
    <x:t xml:space="preserve">Prediction Game; app quiz</x:t>
  </x:si>
  <x:si>
    <x:t xml:space="preserve">No</x:t>
  </x:si>
  <x:si>
    <x:t xml:space="preserve">Individual partner discounts or evergreen merchant benefits.</x:t>
  </x:si>
  <x:si>
    <x:t xml:space="preserve">iHerb, Whites, Huawei, restaurants, pharmacies</x:t>
  </x:si>
  <x:si>
    <x:t xml:space="preserve">Yes, if it meets campaign criteria</x:t>
  </x:si>
  <x:si>
    <x:t xml:space="preserve">A coordinated initiative that does not fit another service category.</x:t>
  </x:si>
  <x:si>
    <x:t xml:space="preserve">Exceptional product campaign</x:t>
  </x:si>
  <x:si>
    <x:t xml:space="preserve">Recommended Merchant-Offer Treatment</x:t>
  </x:si>
  <x:si>
    <x:t xml:space="preserve">1. Keep each merchant offer as a separate row for operational reference, expiry monitoring, and source links.</x:t>
  </x:si>
  <x:si>
    <x:t xml:space="preserve">2. Exclude Merchant rows from campaign totals, campaign mix, campaign expiry KPIs, and campaign platform analysis.</x:t>
  </x:si>
  <x:si>
    <x:t xml:space="preserve">3. Use “Merchant Offers Portfolio” as the management roll-up label; do not count it as an additional campaign.</x:t>
  </x:si>
  <x:si>
    <x:t xml:space="preserve">4. Count a merchant activation as a campaign only when it has a coordinated objective, defined audience, dedicated timing, communication plan, and measurable campaign KPI.</x:t>
  </x:si>
  <x:si>
    <x:t xml:space="preserve">5. This convention avoids inflating campaign volume merely because one competitor has more commercial partners.</x:t>
  </x:si>
  <x:si>
    <x:t xml:space="preserve">Workbook Update Rules</x:t>
  </x:si>
  <x:si>
    <x:t xml:space="preserve">Step</x:t>
  </x:si>
  <x:si>
    <x:t xml:space="preserve">Instruction</x:t>
  </x:si>
  <x:si>
    <x:t xml:space="preserve">Reference</x:t>
  </x:si>
  <x:si>
    <x:t xml:space="preserve">Source</x:t>
  </x:si>
  <x:si>
    <x:t xml:space="preserve">Use in This Workbook</x:t>
  </x:si>
  <x:si>
    <x:t xml:space="preserve">URL</x:t>
  </x:si>
  <x:si>
    <x:t xml:space="preserve">Note</x:t>
  </x:si>
  <x:si>
    <x:t xml:space="preserve">1</x:t>
  </x:si>
  <x:si>
    <x:t xml:space="preserve">Add or edit campaign records inside the relevant competitor table.</x:t>
  </x:si>
  <x:si>
    <x:t xml:space="preserve">Promotion vs. marketing</x:t>
  </x:si>
  <x:si>
    <x:t xml:space="preserve">American Marketing Association</x:t>
  </x:si>
  <x:si>
    <x:t xml:space="preserve">Supports treating promotions as tactical components rather than the full campaign structure.</x:t>
  </x:si>
  <x:si>
    <x:t xml:space="preserve">https://www.ama.org/marketing-news/marketing-vs-promotion-key-differences-and-how-they-impact-your-strategy/</x:t>
  </x:si>
  <x:si>
    <x:t xml:space="preserve">Promotions are tactical and short-term.</x:t>
  </x:si>
  <x:si>
    <x:t xml:space="preserve">2</x:t>
  </x:si>
  <x:si>
    <x:t xml:space="preserve">Use Merchant for partner discounts; these remain visible but are excluded from Campaign KPIs.</x:t>
  </x:si>
  <x:si>
    <x:t xml:space="preserve">Campaign definition</x:t>
  </x:si>
  <x:si>
    <x:t xml:space="preserve">Google Ads Help</x:t>
  </x:si>
  <x:si>
    <x:t xml:space="preserve">Supports treating a campaign as an organized set sharing settings/objectives, rather than every individual offer.</x:t>
  </x:si>
  <x:si>
    <x:t xml:space="preserve">https://support.google.com/google-ads/answer/6304?hl=en</x:t>
  </x:si>
  <x:si>
    <x:t xml:space="preserve">Campaigns organize related activity.</x:t>
  </x:si>
  <x:si>
    <x:t xml:space="preserve">3</x:t>
  </x:si>
  <x:si>
    <x:t xml:space="preserve">Use Remittance for all international-transfer campaigns; the workbook highlights these rows automatically.</x:t>
  </x:si>
  <x:si>
    <x:t xml:space="preserve">Campaign hierarchy</x:t>
  </x:si>
  <x:si>
    <x:t xml:space="preserve">Salesforce Help</x:t>
  </x:si>
  <x:si>
    <x:t xml:space="preserve">Supports rolling related activities into a parent/program hierarchy with metrics aggregated separately.</x:t>
  </x:si>
  <x:si>
    <x:t xml:space="preserve">https://help.salesforce.com/s/articleView?id=sales.campaigns_hierarchy.htm&amp;language=en_US&amp;type=5</x:t>
  </x:si>
  <x:si>
    <x:t xml:space="preserve">Use hierarchy/program roll-ups where needed.</x:t>
  </x:si>
  <x:si>
    <x:t xml:space="preserve">4</x:t>
  </x:si>
  <x:si>
    <x:t xml:space="preserve">Enter at least one accepted direct official campaign page or specific social post. Primary Official Source URL is formula-generated.</x:t>
  </x:si>
  <x:si>
    <x:t xml:space="preserve">5</x:t>
  </x:si>
  <x:si>
    <x:t xml:space="preserve">Leave End Date blank when the official source does not state a complete date.</x:t>
  </x:si>
  <x:si>
    <x:t xml:space="preserve">6</x:t>
  </x:si>
  <x:si>
    <x:t xml:space="preserve">Do not overwrite grey formula columns: Record ID, Days Remaining, Current Status, and Primary Official Source URL.</x:t>
  </x:si>
  <x:si>
    <x:t xml:space="preserve">7</x:t>
  </x:si>
  <x:si>
    <x:t xml:space="preserve">Dashboard Campaign KPIs, category mix, signals, platform matrix, and charts update automatically.</x:t>
  </x:si>
  <x:si>
    <x:t xml:space="preserve">8</x:t>
  </x:si>
  <x:si>
    <x:t xml:space="preserve">Rows with no accepted direct source are highlighted red and excluded.</x:t>
  </x:si>
  <x:si>
    <x:t xml:space="preserve">Published Social Platforms is formula-generated from specific Instagram, X, Facebook, and TikTok post links. Generic profile links are not counted.</x:t>
  </x:si>
</x:sst>
</file>

<file path=xl/styles.xml><?xml version="1.0" encoding="utf-8"?>
<x:styleSheet xmlns:x="http://schemas.openxmlformats.org/spreadsheetml/2006/main">
  <x:numFmts count="2">
    <x:numFmt numFmtId="164" formatCode="mmmm\ d\,\ yyyy"/>
    <x:numFmt numFmtId="165" formatCode="yyyy\-mm\-dd"/>
  </x:numFmts>
  <x:fonts count="21">
    <x:font>
      <x:sz val="11"/>
      <x:name val="Carlito"/>
    </x:font>
    <x:font>
      <x:b/>
      <x:sz val="18"/>
      <x:color rgb="FFFFFFFF"/>
      <x:name val="Carlito"/>
    </x:font>
    <x:font>
      <x:sz val="11"/>
      <x:color rgb="FFD8E8F0"/>
      <x:name val="Carlito"/>
    </x:font>
    <x:font>
      <x:b/>
      <x:sz val="11"/>
      <x:color rgb="FF263746"/>
      <x:name val="Carlito"/>
    </x:font>
    <x:font>
      <x:b/>
      <x:sz val="11"/>
      <x:color rgb="FFFFFFFF"/>
      <x:name val="Carlito"/>
    </x:font>
    <x:font>
      <x:b/>
      <x:sz val="20"/>
      <x:color rgb="FF17324D"/>
      <x:name val="Carlito"/>
    </x:font>
    <x:font>
      <x:b/>
      <x:sz val="13"/>
      <x:color rgb="FFFFFFFF"/>
      <x:name val="Carlito"/>
    </x:font>
    <x:font>
      <x:b/>
      <x:sz val="11"/>
      <x:color rgb="FF17324D"/>
      <x:name val="Carlito"/>
    </x:font>
    <x:font>
      <x:sz val="11"/>
      <x:color rgb="FF263746"/>
      <x:name val="Carlito"/>
    </x:font>
    <x:font>
      <x:b/>
      <x:sz val="12"/>
      <x:color rgb="FFFFFFFF"/>
      <x:name val="Carlito"/>
    </x:font>
    <x:font>
      <x:b/>
      <x:sz val="17"/>
      <x:color rgb="FFFFFFFF"/>
      <x:name val="Carlito"/>
    </x:font>
    <x:font>
      <x:sz val="10"/>
      <x:color rgb="FFD8E8F0"/>
      <x:name val="Carlito"/>
    </x:font>
    <x:font>
      <x:b/>
      <x:sz val="18"/>
      <x:color rgb="FF17324D"/>
      <x:name val="Carlito"/>
    </x:font>
    <x:font>
      <x:sz val="11"/>
      <x:color rgb="FF5D6870"/>
      <x:name val="Carlito"/>
    </x:font>
    <x:font>
      <x:sz val="11"/>
      <x:color rgb="FF3C596B"/>
      <x:name val="Carlito"/>
    </x:font>
    <x:font>
      <x:b/>
      <x:sz val="11"/>
      <x:color rgb="FF1F4E78"/>
      <x:name val="Carlito"/>
    </x:font>
    <x:font>
      <x:b/>
      <x:sz val="13"/>
      <x:color rgb="FF17324D"/>
      <x:name val="Carlito"/>
    </x:font>
    <x:font>
      <x:sz val="11"/>
      <x:color rgb="FF263746"/>
      <x:name val="Carlito"/>
    </x:font>
    <x:font>
      <x:sz val="1"/>
      <x:color rgb="FFFFFFFF"/>
      <x:name val="Carlito"/>
    </x:font>
    <x:font>
      <x:sz val="11"/>
      <x:color theme="10"/>
      <x:name val="Carlito"/>
    </x:font>
    <x:font>
      <x:sz val="11"/>
      <x:color rgb="FF1F4E78"/>
      <x:name val="Carlito"/>
    </x:font>
  </x:fonts>
  <x:fills count="27">
    <x:fill>
      <x:patternFill patternType="none"/>
    </x:fill>
    <x:fill>
      <x:patternFill patternType="gray125"/>
    </x:fill>
    <x:fill>
      <x:patternFill patternType="solid">
        <x:fgColor rgb="FF17324D"/>
      </x:patternFill>
    </x:fill>
    <x:fill>
      <x:patternFill patternType="solid">
        <x:fgColor rgb="FF4E87B8"/>
      </x:patternFill>
    </x:fill>
    <x:fill>
      <x:patternFill patternType="solid">
        <x:fgColor rgb="FFE5E9ED"/>
      </x:patternFill>
    </x:fill>
    <x:fill>
      <x:patternFill patternType="solid">
        <x:fgColor rgb="FF17324D"/>
      </x:patternFill>
    </x:fill>
    <x:fill>
      <x:patternFill patternType="solid">
        <x:fgColor rgb="FF244E6A"/>
      </x:patternFill>
    </x:fill>
    <x:fill>
      <x:patternFill patternType="solid">
        <x:fgColor rgb="FFFFF4D6"/>
      </x:patternFill>
    </x:fill>
    <x:fill>
      <x:patternFill patternType="solid">
        <x:fgColor rgb="FFEAF2F8"/>
      </x:patternFill>
    </x:fill>
    <x:fill>
      <x:patternFill patternType="solid">
        <x:fgColor rgb="FF1F4E78"/>
      </x:patternFill>
    </x:fill>
    <x:fill>
      <x:patternFill patternType="solid">
        <x:fgColor rgb="FFD9EAF7"/>
      </x:patternFill>
    </x:fill>
    <x:fill>
      <x:patternFill patternType="solid">
        <x:fgColor rgb="FFD8A63C"/>
      </x:patternFill>
    </x:fill>
    <x:fill>
      <x:patternFill patternType="solid">
        <x:fgColor rgb="FF009C9C"/>
      </x:patternFill>
    </x:fill>
    <x:fill>
      <x:patternFill patternType="solid">
        <x:fgColor rgb="FF4E87B8"/>
      </x:patternFill>
    </x:fill>
    <x:fill>
      <x:patternFill patternType="solid">
        <x:fgColor rgb="FFE5F6F5"/>
      </x:patternFill>
    </x:fill>
    <x:fill>
      <x:patternFill patternType="solid">
        <x:fgColor rgb="FFFFFFFF"/>
      </x:patternFill>
    </x:fill>
    <x:fill>
      <x:patternFill patternType="solid">
        <x:fgColor rgb="FFF2F4F6"/>
      </x:patternFill>
    </x:fill>
    <x:fill>
      <x:patternFill patternType="solid">
        <x:fgColor rgb="FFFFF4D6"/>
      </x:patternFill>
    </x:fill>
    <x:fill>
      <x:patternFill patternType="solid">
        <x:fgColor rgb="FF244E6A"/>
      </x:patternFill>
    </x:fill>
    <x:fill>
      <x:patternFill patternType="solid">
        <x:fgColor rgb="FF4E87B8"/>
      </x:patternFill>
    </x:fill>
    <x:fill>
      <x:patternFill patternType="solid">
        <x:fgColor rgb="FFF2F4F6"/>
      </x:patternFill>
    </x:fill>
    <x:fill>
      <x:patternFill patternType="solid">
        <x:fgColor rgb="FFB4C7E7"/>
      </x:patternFill>
    </x:fill>
    <x:fill>
      <x:patternFill patternType="solid">
        <x:fgColor rgb="FF17324D"/>
      </x:patternFill>
    </x:fill>
    <x:fill>
      <x:patternFill patternType="solid">
        <x:fgColor rgb="FF009C9C"/>
      </x:patternFill>
    </x:fill>
    <x:fill>
      <x:patternFill patternType="solid">
        <x:fgColor rgb="FFE5F6F5"/>
      </x:patternFill>
    </x:fill>
    <x:fill>
      <x:patternFill patternType="solid">
        <x:fgColor rgb="FFEAF2F8"/>
      </x:patternFill>
    </x:fill>
    <x:fill>
      <x:patternFill patternType="solid">
        <x:fgColor rgb="FFB4C7E7"/>
      </x:patternFill>
    </x:fill>
  </x:fills>
  <x:borders count="2">
    <x:border/>
    <x:border/>
  </x:borders>
  <x:cellStyleXfs count="2">
    <x:xf numFmtId="0" fontId="0" fillId="0" borderId="0"/>
    <x:xf numFmtId="0" fontId="19" fillId="0" borderId="0" applyNumberFormat="0" applyFill="0" applyBorder="0" applyAlignment="0" applyProtection="0"/>
  </x:cellStyleXfs>
  <x:cellXfs count="128">
    <x:xf numFmtId="0" fontId="0" fillId="0" borderId="0" xfId="0"/>
    <x:xf numFmtId="0" fontId="0" fillId="0" borderId="0" xfId="0" applyAlignment="1">
      <x:alignment wrapText="1"/>
    </x:xf>
    <x:xf numFmtId="0" fontId="0" fillId="0" borderId="0" xfId="0" applyAlignment="1">
      <x:alignment vertical="center" wrapText="1"/>
    </x:xf>
    <x:xf numFmtId="0" fontId="4" fillId="3" borderId="0" xfId="0" applyFont="1" applyFill="1" applyAlignment="1">
      <x:alignment horizontal="center" vertical="center" wrapText="1"/>
    </x:xf>
    <x:xf numFmtId="0" fontId="0" fillId="0" borderId="0" xfId="0" applyAlignment="1">
      <x:alignment vertical="top" wrapText="1"/>
    </x:xf>
    <x:xf numFmtId="165" fontId="0" fillId="0" borderId="0" xfId="0" applyNumberFormat="1" applyAlignment="1">
      <x:alignment vertical="top" wrapText="1"/>
    </x:xf>
    <x:xf numFmtId="0" fontId="0" fillId="4" borderId="0" xfId="0" applyFill="1" applyAlignment="1">
      <x:alignment vertical="top" wrapText="1"/>
    </x:xf>
    <x:xf numFmtId="1" fontId="0" fillId="4" borderId="0" xfId="0" applyNumberFormat="1" applyFill="1" applyAlignment="1">
      <x:alignment vertical="top" wrapText="1"/>
    </x:xf>
    <x:xf numFmtId="0" fontId="13" fillId="4" borderId="0" xfId="0" applyFont="1" applyFill="1" applyAlignment="1">
      <x:alignment vertical="top" wrapText="1"/>
    </x:xf>
    <x:xf numFmtId="0" fontId="14" fillId="4" borderId="0" xfId="0" applyFont="1" applyFill="1" applyAlignment="1">
      <x:alignment vertical="top" wrapText="1"/>
    </x:xf>
    <x:xf numFmtId="0" fontId="3" fillId="7" borderId="0" xfId="0" applyFont="1" applyFill="1" applyAlignment="1">
      <x:alignment vertical="center" wrapText="1"/>
    </x:xf>
    <x:xf numFmtId="164" fontId="3" fillId="7" borderId="0" xfId="0" applyNumberFormat="1"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5" fillId="10" borderId="0" xfId="0" applyFont="1" applyFill="1" applyAlignment="1">
      <x:alignment horizontal="center" vertical="center"/>
    </x:xf>
    <x:xf numFmtId="0" fontId="4" fillId="11" borderId="0" xfId="0" applyFont="1" applyFill="1" applyAlignment="1">
      <x:alignment horizontal="center" vertical="center" wrapText="1"/>
    </x:xf>
    <x:xf numFmtId="0" fontId="5" fillId="7" borderId="0" xfId="0" applyFont="1" applyFill="1" applyAlignment="1">
      <x:alignment horizontal="center" vertical="center"/>
    </x:xf>
    <x:xf numFmtId="0" fontId="4" fillId="12" borderId="0" xfId="0" applyFont="1" applyFill="1" applyAlignment="1">
      <x:alignment horizontal="center" vertical="center" wrapText="1"/>
    </x:xf>
    <x:xf numFmtId="0" fontId="15" fillId="10" borderId="0" xfId="0" applyFont="1" applyFill="1" applyAlignment="1">
      <x:alignment horizontal="center" vertical="center" wrapText="1"/>
    </x:xf>
    <x:xf numFmtId="0" fontId="15" fillId="10" borderId="0" xfId="0" applyFont="1" applyFill="1" applyAlignment="1">
      <x:alignment vertical="center" wrapText="1"/>
    </x:xf>
    <x:xf numFmtId="0" fontId="4" fillId="13" borderId="0" xfId="0" applyFont="1" applyFill="1"/>
    <x:xf numFmtId="0" fontId="4" fillId="13" borderId="0" xfId="0" applyFont="1" applyFill="1" applyAlignment="1">
      <x:alignment horizontal="center" vertical="center" wrapText="1"/>
    </x:xf>
    <x:xf numFmtId="0" fontId="7" fillId="14" borderId="0" xfId="0" applyFont="1" applyFill="1" applyAlignment="1">
      <x:alignment horizontal="center"/>
    </x:xf>
    <x:xf numFmtId="0" fontId="15" fillId="10" borderId="0" xfId="0" applyFont="1" applyFill="1" applyAlignment="1">
      <x:alignment horizontal="center"/>
    </x:xf>
    <x:xf numFmtId="0" fontId="0" fillId="0" borderId="0" xfId="0" applyAlignment="1">
      <x:alignment horizontal="center"/>
    </x:xf>
    <x:xf numFmtId="0" fontId="4" fillId="12" borderId="0" xfId="0" applyFont="1" applyFill="1" applyAlignment="1">
      <x:alignment horizontal="center" vertical="center"/>
    </x:xf>
    <x:xf numFmtId="0" fontId="15" fillId="10" borderId="0" xfId="0" applyFont="1" applyFill="1" applyAlignment="1">
      <x:alignment vertical="top" wrapText="1"/>
    </x:xf>
    <x:xf numFmtId="0" fontId="0" fillId="7" borderId="0" xfId="0" applyFill="1" applyAlignment="1">
      <x:alignment vertical="top" wrapText="1"/>
    </x:xf>
    <x:xf numFmtId="0" fontId="7" fillId="11" borderId="0" xfId="0" applyFont="1" applyFill="1" applyAlignment="1">
      <x:alignment horizontal="center" wrapText="1"/>
    </x:xf>
    <x:xf numFmtId="0" fontId="18" fillId="0" borderId="0" xfId="0" applyFont="1"/>
    <x:xf numFmtId="0" fontId="7" fillId="17" borderId="0" xfId="0" applyFont="1" applyFill="1" applyAlignment="1">
      <x:alignment horizontal="center" vertical="center" wrapText="1"/>
    </x:xf>
    <x:xf numFmtId="0" fontId="0" fillId="0" borderId="0" xfId="0" applyAlignment="1">
      <x:alignment vertical="center"/>
    </x:xf>
    <x:xf numFmtId="0" fontId="7" fillId="17" borderId="0" xfId="0" applyFont="1" applyFill="1" applyAlignment="1">
      <x:alignment horizontal="center" vertical="center"/>
    </x:xf>
    <x:xf numFmtId="0" fontId="4" fillId="19" borderId="0" xfId="0" applyFont="1" applyFill="1" applyAlignment="1">
      <x:alignment horizontal="center" vertical="center" wrapText="1"/>
    </x:xf>
    <x:xf numFmtId="0" fontId="8" fillId="20" borderId="0" xfId="0" applyFont="1" applyFill="1" applyAlignment="1">
      <x:alignment vertical="center" wrapText="1"/>
    </x:xf>
    <x:xf numFmtId="0" fontId="4" fillId="23" borderId="0" xfId="0" applyFont="1" applyFill="1" applyAlignment="1">
      <x:alignment horizontal="center" vertical="center" wrapText="1"/>
    </x:xf>
    <x:xf numFmtId="0" fontId="7" fillId="24" borderId="0" xfId="0" applyFont="1" applyFill="1" applyAlignment="1">
      <x:alignment horizontal="center" vertical="center"/>
    </x:xf>
    <x:xf numFmtId="0" fontId="1" fillId="5" borderId="0" xfId="0" applyFont="1" applyFill="1" applyAlignment="1">
      <x:alignment horizontal="center" vertical="center"/>
    </x:xf>
    <x:xf numFmtId="0" fontId="2" fillId="6" borderId="0" xfId="0" applyFont="1" applyFill="1" applyAlignment="1">
      <x:alignment horizontal="center" vertical="center"/>
    </x:xf>
    <x:xf numFmtId="0" fontId="3" fillId="7" borderId="0" xfId="0" applyFont="1" applyFill="1" applyAlignment="1">
      <x:alignment vertical="center" wrapText="1"/>
    </x:xf>
    <x:xf numFmtId="0" fontId="4" fillId="6" borderId="0" xfId="0" applyFont="1" applyFill="1" applyAlignment="1">
      <x:alignment horizontal="center" vertical="center" wrapText="1"/>
    </x:xf>
    <x:xf numFmtId="0" fontId="5" fillId="8" borderId="0" xfId="0" applyFont="1" applyFill="1" applyAlignment="1">
      <x:alignment horizontal="center" vertical="center"/>
    </x:xf>
    <x:xf numFmtId="0" fontId="4" fillId="9" borderId="0" xfId="0" applyFont="1" applyFill="1" applyAlignment="1">
      <x:alignment horizontal="center" vertical="center" wrapText="1"/>
    </x:xf>
    <x:xf numFmtId="0" fontId="4" fillId="11" borderId="0" xfId="0" applyFont="1" applyFill="1" applyAlignment="1">
      <x:alignment horizontal="center" vertical="center" wrapText="1"/>
    </x:xf>
    <x:xf numFmtId="0" fontId="6" fillId="5" borderId="0" xfId="0" applyFont="1" applyFill="1" applyAlignment="1">
      <x:alignment horizontal="left"/>
    </x:xf>
    <x:xf numFmtId="0" fontId="16" fillId="11" borderId="0" xfId="0" applyFont="1" applyFill="1" applyAlignment="1">
      <x:alignment horizontal="left"/>
    </x:xf>
    <x:xf numFmtId="0" fontId="6" fillId="22" borderId="0" xfId="0" applyFont="1" applyFill="1" applyAlignment="1">
      <x:alignment horizontal="left" vertical="center"/>
    </x:xf>
    <x:xf numFmtId="0" fontId="17" fillId="15" borderId="0" xfId="0" applyFont="1" applyFill="1" applyAlignment="1">
      <x:alignment vertical="center" wrapText="1"/>
    </x:xf>
    <x:xf numFmtId="0" fontId="15" fillId="10" borderId="0" xfId="0" applyFont="1" applyFill="1" applyAlignment="1">
      <x:alignment vertical="center" wrapText="1"/>
    </x:xf>
    <x:xf numFmtId="0" fontId="17" fillId="16" borderId="0" xfId="0" applyFont="1" applyFill="1" applyAlignment="1">
      <x:alignment vertical="center" wrapText="1"/>
    </x:xf>
    <x:xf numFmtId="0" fontId="9" fillId="6" borderId="0" xfId="0" applyFont="1" applyFill="1" applyAlignment="1">
      <x:alignment horizontal="left"/>
    </x:xf>
    <x:xf numFmtId="0" fontId="10" fillId="2" borderId="0" xfId="0" applyFont="1" applyFill="1" applyAlignment="1">
      <x:alignment horizontal="center" vertical="center"/>
    </x:xf>
    <x:xf numFmtId="0" fontId="12" fillId="8" borderId="0" xfId="0" applyFont="1" applyFill="1" applyAlignment="1">
      <x:alignment horizontal="center" vertical="center"/>
    </x:xf>
    <x:xf numFmtId="0" fontId="12" fillId="10" borderId="0" xfId="0" applyFont="1" applyFill="1" applyAlignment="1">
      <x:alignment horizontal="center" vertical="center"/>
    </x:xf>
    <x:xf numFmtId="0" fontId="12" fillId="7" borderId="0" xfId="0" applyFont="1" applyFill="1" applyAlignment="1">
      <x:alignment horizontal="center" vertical="center"/>
    </x:xf>
    <x:xf numFmtId="0" fontId="11" fillId="18" borderId="0" xfId="0" applyFont="1" applyFill="1" applyAlignment="1">
      <x:alignment horizontal="center" vertical="center" wrapText="1"/>
    </x:xf>
    <x:xf numFmtId="0" fontId="15" fillId="21" borderId="0" xfId="0" applyFont="1" applyFill="1" applyAlignment="1">
      <x:alignment horizontal="center" vertical="center" wrapText="1"/>
    </x:xf>
    <x:xf numFmtId="0" fontId="10" fillId="5" borderId="0" xfId="0" applyFont="1" applyFill="1" applyAlignment="1">
      <x:alignment horizontal="center" vertical="center"/>
    </x:xf>
    <x:xf numFmtId="0" fontId="15" fillId="10" borderId="0" xfId="0" applyFont="1" applyFill="1" applyAlignment="1">
      <x:alignment horizontal="center" vertical="center" wrapText="1"/>
    </x:xf>
    <x:xf numFmtId="0" fontId="8" fillId="15" borderId="0" xfId="0" applyFont="1" applyFill="1" applyAlignment="1">
      <x:alignment vertical="center" wrapText="1"/>
    </x:xf>
    <x:xf numFmtId="0" fontId="8" fillId="16" borderId="0" xfId="0" applyFont="1" applyFill="1" applyAlignment="1">
      <x:alignment vertical="center" wrapText="1"/>
    </x:xf>
    <x:xf numFmtId="0" fontId="7" fillId="25" borderId="0" xfId="0" applyFont="1" applyFill="1" applyAlignment="1">
      <x:alignment vertical="center" wrapText="1"/>
    </x:xf>
    <x:xf numFmtId="0" fontId="19" fillId="0" borderId="0" xfId="1" applyAlignment="1">
      <x:alignment vertical="top" wrapText="1"/>
    </x:xf>
    <x:xf numFmtId="0" fontId="0" fillId="0" borderId="1" xfId="0" applyNumberFormat="1" applyFont="1" applyFill="1" applyBorder="1"/>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4" fillId="3"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165" fontId="0" fillId="0" borderId="1" xfId="0" applyNumberFormat="1" applyFont="1" applyFill="1" applyBorder="1" applyAlignment="1">
      <x:alignment vertical="top" wrapText="1"/>
    </x:xf>
    <x:xf numFmtId="0" fontId="0" fillId="4" borderId="1" xfId="0" applyNumberFormat="1" applyFont="1" applyFill="1" applyBorder="1" applyAlignment="1">
      <x:alignment vertical="top" wrapText="1"/>
    </x:xf>
    <x:xf numFmtId="1" fontId="0" fillId="4" borderId="1" xfId="0" applyNumberFormat="1" applyFont="1" applyFill="1" applyBorder="1" applyAlignment="1">
      <x:alignment vertical="top" wrapText="1"/>
    </x:xf>
    <x:xf numFmtId="0" fontId="13" fillId="4" borderId="1" xfId="0" applyNumberFormat="1" applyFont="1" applyFill="1" applyBorder="1" applyAlignment="1">
      <x:alignment vertical="top" wrapText="1"/>
    </x:xf>
    <x:xf numFmtId="0" fontId="14" fillId="4" borderId="1" xfId="0" applyNumberFormat="1" applyFont="1" applyFill="1" applyBorder="1" applyAlignment="1">
      <x:alignment vertical="top" wrapText="1"/>
    </x:xf>
    <x:xf numFmtId="0" fontId="3" fillId="7" borderId="1" xfId="0" applyNumberFormat="1" applyFont="1" applyFill="1" applyBorder="1" applyAlignment="1">
      <x:alignment vertical="center" wrapText="1"/>
    </x:xf>
    <x:xf numFmtId="164" fontId="3" fillId="7" borderId="1" xfId="0" applyNumberFormat="1" applyFont="1" applyFill="1" applyBorder="1" applyAlignment="1">
      <x:alignment vertical="center" wrapText="1"/>
    </x:xf>
    <x:xf numFmtId="0" fontId="4" fillId="6" borderId="1" xfId="0" applyNumberFormat="1" applyFont="1" applyFill="1" applyBorder="1" applyAlignment="1">
      <x:alignment horizontal="center" vertical="center" wrapText="1"/>
    </x:xf>
    <x:xf numFmtId="0" fontId="5" fillId="8" borderId="1" xfId="0" applyNumberFormat="1" applyFont="1" applyFill="1" applyBorder="1" applyAlignment="1">
      <x:alignment horizontal="center" vertical="center"/>
    </x:xf>
    <x:xf numFmtId="0" fontId="4" fillId="9" borderId="1" xfId="0" applyNumberFormat="1" applyFont="1" applyFill="1" applyBorder="1" applyAlignment="1">
      <x:alignment horizontal="center" vertical="center" wrapText="1"/>
    </x:xf>
    <x:xf numFmtId="0" fontId="5" fillId="10" borderId="1" xfId="0" applyNumberFormat="1" applyFont="1" applyFill="1" applyBorder="1" applyAlignment="1">
      <x:alignment horizontal="center" vertical="center"/>
    </x:xf>
    <x:xf numFmtId="0" fontId="4" fillId="11" borderId="1" xfId="0" applyNumberFormat="1" applyFont="1" applyFill="1" applyBorder="1" applyAlignment="1">
      <x:alignment horizontal="center" vertical="center" wrapText="1"/>
    </x:xf>
    <x:xf numFmtId="0" fontId="5" fillId="7" borderId="1" xfId="0" applyNumberFormat="1" applyFont="1" applyFill="1" applyBorder="1" applyAlignment="1">
      <x:alignment horizontal="center" vertical="center"/>
    </x:xf>
    <x:xf numFmtId="0" fontId="4" fillId="12" borderId="1" xfId="0" applyNumberFormat="1" applyFont="1" applyFill="1" applyBorder="1" applyAlignment="1">
      <x:alignment horizontal="center" vertical="center" wrapText="1"/>
    </x:xf>
    <x:xf numFmtId="0" fontId="15" fillId="10" borderId="1" xfId="0" applyNumberFormat="1" applyFont="1" applyFill="1" applyBorder="1" applyAlignment="1">
      <x:alignment horizontal="center" vertical="center" wrapText="1"/>
    </x:xf>
    <x:xf numFmtId="0" fontId="15" fillId="10" borderId="1" xfId="0" applyNumberFormat="1" applyFont="1" applyFill="1" applyBorder="1" applyAlignment="1">
      <x:alignment vertical="center" wrapText="1"/>
    </x:xf>
    <x:xf numFmtId="0" fontId="4" fillId="3" borderId="1" xfId="0" applyNumberFormat="1" applyFont="1" applyFill="1" applyBorder="1"/>
    <x:xf numFmtId="0" fontId="7" fillId="14" borderId="1" xfId="0" applyNumberFormat="1" applyFont="1" applyFill="1" applyBorder="1" applyAlignment="1">
      <x:alignment horizontal="center"/>
    </x:xf>
    <x:xf numFmtId="0" fontId="15" fillId="10" borderId="1" xfId="0" applyNumberFormat="1" applyFont="1" applyFill="1" applyBorder="1" applyAlignment="1">
      <x:alignment horizontal="center"/>
    </x:xf>
    <x:xf numFmtId="0" fontId="0" fillId="0" borderId="1" xfId="0" applyNumberFormat="1" applyFont="1" applyFill="1" applyBorder="1" applyAlignment="1">
      <x:alignment horizontal="center"/>
    </x:xf>
    <x:xf numFmtId="0" fontId="4" fillId="12" borderId="1" xfId="0" applyNumberFormat="1" applyFont="1" applyFill="1" applyBorder="1" applyAlignment="1">
      <x:alignment horizontal="center" vertical="center"/>
    </x:xf>
    <x:xf numFmtId="0" fontId="15" fillId="10" borderId="1" xfId="0" applyNumberFormat="1" applyFont="1" applyFill="1" applyBorder="1" applyAlignment="1">
      <x:alignment vertical="top" wrapText="1"/>
    </x:xf>
    <x:xf numFmtId="0" fontId="0" fillId="7" borderId="1" xfId="0" applyNumberFormat="1" applyFont="1" applyFill="1" applyBorder="1" applyAlignment="1">
      <x:alignment vertical="top" wrapText="1"/>
    </x:xf>
    <x:xf numFmtId="0" fontId="7" fillId="11" borderId="1" xfId="0" applyNumberFormat="1" applyFont="1" applyFill="1" applyBorder="1" applyAlignment="1">
      <x:alignment horizontal="center" wrapText="1"/>
    </x:xf>
    <x:xf numFmtId="0" fontId="18" fillId="0" borderId="1" xfId="0" applyNumberFormat="1" applyFont="1" applyFill="1" applyBorder="1"/>
    <x:xf numFmtId="0" fontId="7" fillId="7" borderId="1" xfId="0" applyNumberFormat="1" applyFont="1" applyFill="1" applyBorder="1" applyAlignment="1">
      <x:alignment horizontal="center" vertical="center" wrapText="1"/>
    </x:xf>
    <x:xf numFmtId="0" fontId="0" fillId="0" borderId="1" xfId="0" applyNumberFormat="1" applyFont="1" applyFill="1" applyBorder="1" applyAlignment="1">
      <x:alignment vertical="center"/>
    </x:xf>
    <x:xf numFmtId="0" fontId="7" fillId="7" borderId="1" xfId="0" applyNumberFormat="1" applyFont="1" applyFill="1" applyBorder="1" applyAlignment="1">
      <x:alignment horizontal="center" vertical="center"/>
    </x:xf>
    <x:xf numFmtId="0" fontId="8" fillId="16" borderId="1" xfId="0" applyNumberFormat="1" applyFont="1" applyFill="1" applyBorder="1" applyAlignment="1">
      <x:alignment vertical="center" wrapText="1"/>
    </x:xf>
    <x:xf numFmtId="0" fontId="7" fillId="14" borderId="1" xfId="0" applyNumberFormat="1" applyFont="1" applyFill="1" applyBorder="1" applyAlignment="1">
      <x:alignment horizontal="center" vertical="center"/>
    </x:xf>
    <x:xf numFmtId="0" fontId="1" fillId="2" borderId="1" xfId="0" applyNumberFormat="1" applyFont="1" applyFill="1" applyBorder="1" applyAlignment="1">
      <x:alignment horizontal="center" vertical="center"/>
    </x:xf>
    <x:xf numFmtId="0" fontId="2" fillId="6" borderId="1" xfId="0" applyNumberFormat="1" applyFont="1" applyFill="1" applyBorder="1" applyAlignment="1">
      <x:alignment horizontal="center" vertical="center"/>
    </x:xf>
    <x:xf numFmtId="0" fontId="6" fillId="2" borderId="1" xfId="0" applyNumberFormat="1" applyFont="1" applyFill="1" applyBorder="1" applyAlignment="1">
      <x:alignment horizontal="left"/>
    </x:xf>
    <x:xf numFmtId="0" fontId="16" fillId="11"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8" fillId="15" borderId="1" xfId="0" applyNumberFormat="1" applyFont="1" applyFill="1" applyBorder="1" applyAlignment="1">
      <x:alignment vertical="center" wrapText="1"/>
    </x:xf>
    <x:xf numFmtId="0" fontId="9" fillId="6" borderId="1" xfId="0" applyNumberFormat="1" applyFont="1" applyFill="1" applyBorder="1" applyAlignment="1">
      <x:alignment horizontal="left"/>
    </x:xf>
    <x:xf numFmtId="0" fontId="10" fillId="2" borderId="1" xfId="0" applyNumberFormat="1" applyFont="1" applyFill="1" applyBorder="1" applyAlignment="1">
      <x:alignment horizontal="center" vertical="center"/>
    </x:xf>
    <x:xf numFmtId="0" fontId="12" fillId="8" borderId="1" xfId="0" applyNumberFormat="1" applyFont="1" applyFill="1" applyBorder="1" applyAlignment="1">
      <x:alignment horizontal="center" vertical="center"/>
    </x:xf>
    <x:xf numFmtId="0" fontId="12" fillId="10" borderId="1" xfId="0" applyNumberFormat="1" applyFont="1" applyFill="1" applyBorder="1" applyAlignment="1">
      <x:alignment horizontal="center" vertical="center"/>
    </x:xf>
    <x:xf numFmtId="0" fontId="12" fillId="7" borderId="1" xfId="0" applyNumberFormat="1" applyFont="1" applyFill="1" applyBorder="1" applyAlignment="1">
      <x:alignment horizontal="center" vertical="center"/>
    </x:xf>
    <x:xf numFmtId="0" fontId="11" fillId="6" borderId="1" xfId="0" applyNumberFormat="1" applyFont="1" applyFill="1" applyBorder="1" applyAlignment="1">
      <x:alignment horizontal="center" vertical="center" wrapText="1"/>
    </x:xf>
    <x:xf numFmtId="0" fontId="15" fillId="21" borderId="1" xfId="0" applyNumberFormat="1" applyFont="1" applyFill="1" applyBorder="1" applyAlignment="1">
      <x:alignment horizontal="center" vertical="center" wrapText="1"/>
    </x:xf>
    <x:xf numFmtId="0" fontId="7" fillId="8" borderId="1" xfId="0" applyNumberFormat="1" applyFont="1" applyFill="1" applyBorder="1" applyAlignment="1">
      <x:alignment vertical="center" wrapText="1"/>
    </x:xf>
    <x:xf numFmtId="0" fontId="19" fillId="0" borderId="1" xfId="0" applyNumberFormat="1" applyFont="1" applyFill="1" applyBorder="1" applyAlignment="1">
      <x:alignment vertical="top" wrapText="1"/>
    </x:xf>
    <x:xf numFmtId="0" fontId="0" fillId="26" borderId="0" xfId="0" applyNumberFormat="1" applyFont="1" applyFill="1" applyBorder="1" applyAlignment="1">
      <x:alignment vertical="top" wrapText="1"/>
    </x:xf>
    <x:xf numFmtId="165" fontId="0" fillId="26" borderId="0" xfId="0" applyNumberFormat="1" applyFont="1" applyFill="1" applyBorder="1" applyAlignment="1">
      <x:alignment vertical="top" wrapText="1"/>
    </x:xf>
    <x:xf numFmtId="1" fontId="0" fillId="26" borderId="0" xfId="0" applyNumberFormat="1" applyFont="1" applyFill="1" applyBorder="1" applyAlignment="1">
      <x:alignment vertical="top" wrapText="1"/>
    </x:xf>
    <x:xf numFmtId="0" fontId="14" fillId="26" borderId="0" xfId="0" applyNumberFormat="1" applyFont="1" applyFill="1" applyBorder="1" applyAlignment="1">
      <x:alignment vertical="top" wrapText="1"/>
    </x:xf>
    <x:xf numFmtId="0" fontId="8" fillId="26" borderId="0" xfId="0" applyNumberFormat="1" applyFont="1" applyFill="1" applyBorder="1" applyAlignment="1">
      <x:alignment vertical="center" wrapText="1"/>
    </x:xf>
    <x:xf numFmtId="0" fontId="0" fillId="26" borderId="1" xfId="0" applyNumberFormat="1" applyFont="1" applyFill="1" applyBorder="1" applyAlignment="1">
      <x:alignment vertical="top" wrapText="1"/>
    </x:xf>
    <x:xf numFmtId="165" fontId="0" fillId="26" borderId="1" xfId="0" applyNumberFormat="1" applyFont="1" applyFill="1" applyBorder="1" applyAlignment="1">
      <x:alignment vertical="top" wrapText="1"/>
    </x:xf>
    <x:xf numFmtId="1" fontId="0" fillId="26" borderId="1" xfId="0" applyNumberFormat="1" applyFont="1" applyFill="1" applyBorder="1" applyAlignment="1">
      <x:alignment vertical="top" wrapText="1"/>
    </x:xf>
    <x:xf numFmtId="0" fontId="14" fillId="26" borderId="1" xfId="0" applyNumberFormat="1" applyFont="1" applyFill="1" applyBorder="1" applyAlignment="1">
      <x:alignment vertical="top" wrapText="1"/>
    </x:xf>
    <x:xf numFmtId="0" fontId="8" fillId="26" borderId="1" xfId="0" applyNumberFormat="1" applyFont="1" applyFill="1" applyBorder="1" applyAlignment="1">
      <x:alignment vertical="center" wrapText="1"/>
    </x:xf>
    <x:xf numFmtId="0" fontId="20" fillId="26" borderId="0" xfId="0" applyNumberFormat="1" applyFont="1" applyFill="1" applyBorder="1" applyAlignment="1">
      <x:alignment vertical="top" wrapText="1"/>
    </x:xf>
    <x:xf numFmtId="165" fontId="20" fillId="26" borderId="0" xfId="0" applyNumberFormat="1" applyFont="1" applyFill="1" applyBorder="1" applyAlignment="1">
      <x:alignment vertical="top" wrapText="1"/>
    </x:xf>
    <x:xf numFmtId="1" fontId="20" fillId="26" borderId="0" xfId="0" applyNumberFormat="1" applyFont="1" applyFill="1" applyBorder="1" applyAlignment="1">
      <x:alignment vertical="top" wrapText="1"/>
    </x:xf>
    <x:xf numFmtId="0" fontId="20" fillId="26" borderId="0" xfId="0" applyNumberFormat="1" applyFont="1" applyFill="1" applyBorder="1" applyAlignment="1">
      <x:alignment vertical="center" wrapText="1"/>
    </x:xf>
  </x:cellXfs>
  <x:cellStyles count="2">
    <x:cellStyle name="Hyperlink" xfId="1"/>
    <x:cellStyle name="Normal" xfId="0"/>
  </x:cellStyles>
  <x:dxfs count="91">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
      <x:font>
        <x:i/>
        <x:color rgb="FF626B73"/>
      </x:font>
      <x:fill>
        <x:patternFill>
          <x:bgColor rgb="FFE7E9EC"/>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color rgb="FF626B73"/>
      </x:font>
      <x:fill>
        <x:patternFill>
          <x:bgColor rgb="FFE7E9EC"/>
        </x:patternFill>
      </x:fill>
    </x:dxf>
    <x:dxf>
      <x:font>
        <x:b/>
        <x:color rgb="FF8A5A00"/>
      </x:font>
      <x:fill>
        <x:patternFill>
          <x:bgColor rgb="FFFFF0C7"/>
        </x:patternFill>
      </x:fill>
    </x:dxf>
    <x:dxf>
      <x:font>
        <x:b/>
        <x:color rgb="FFA52A2A"/>
      </x:font>
      <x:fill>
        <x:patternFill>
          <x:bgColor rgb="FFFBE0E0"/>
        </x:patternFill>
      </x:fill>
    </x:dxf>
    <x:dxf>
      <x:font>
        <x:b/>
        <x:color rgb="FF17324D"/>
      </x:font>
      <x:fill>
        <x:patternFill>
          <x:bgColor rgb="FFEAF2F8"/>
        </x:patternFill>
      </x:fill>
    </x:dxf>
    <x:dxf>
      <x:font>
        <x:b/>
        <x:color rgb="FF246B36"/>
      </x:font>
      <x:fill>
        <x:patternFill>
          <x:bgColor rgb="FFDDF1E2"/>
        </x:patternFill>
      </x:fill>
    </x:dxf>
    <x:dxf>
      <x:font>
        <x:b/>
        <x:color rgb="FFFFFFFF"/>
      </x:font>
      <x:fill>
        <x:patternFill>
          <x:bgColor rgb="FF1F4E78"/>
        </x:patternFill>
      </x:fill>
    </x:dxf>
    <x:dxf>
      <x:font>
        <x:b/>
        <x:color rgb="FFA52A2A"/>
      </x:font>
      <x:fill>
        <x:patternFill>
          <x:bgColor rgb="FFFBE0E0"/>
        </x:patternFill>
      </x:fill>
    </x:dxf>
    <x:dxf>
      <x:font>
        <x:b/>
        <x:color rgb="FF1F4E78"/>
      </x:font>
      <x:fill>
        <x:patternFill>
          <x:bgColor rgb="FFB4C7E7"/>
        </x:patternFill>
      </x:fill>
    </x:dxf>
    <x:dxf>
      <x:font>
        <x:color rgb="FF6B5A20"/>
      </x:font>
      <x:fill>
        <x:patternFill>
          <x:bgColor rgb="FFFFF4D6"/>
        </x:patternFill>
      </x:fill>
    </x:dxf>
    <x:dxf>
      <x:font>
        <x:color rgb="FFA52A2A"/>
      </x:font>
      <x:fill>
        <x:patternFill>
          <x:bgColor rgb="FFFB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13b5a6ce34422" /><Relationship Type="http://schemas.openxmlformats.org/officeDocument/2006/relationships/theme" Target="/xl/theme/theme1.xml" Id="R73880b0ca61b47ae" /><Relationship Type="http://schemas.openxmlformats.org/officeDocument/2006/relationships/sharedStrings" Target="/xl/sharedStrings.xml" Id="R6ca774e5f9994d0b" /><Relationship Type="http://schemas.openxmlformats.org/officeDocument/2006/relationships/worksheet" Target="/xl/worksheets/sheet1.xml" Id="R168a2df8c4a547f3" /><Relationship Type="http://schemas.openxmlformats.org/officeDocument/2006/relationships/worksheet" Target="/xl/worksheets/sheet2.xml" Id="Raea0d815ed284158" /><Relationship Type="http://schemas.openxmlformats.org/officeDocument/2006/relationships/worksheet" Target="/xl/worksheets/sheet3.xml" Id="R3956992296624e20" /><Relationship Type="http://schemas.openxmlformats.org/officeDocument/2006/relationships/worksheet" Target="/xl/worksheets/sheet4.xml" Id="Ra364fe89271e48fe" /><Relationship Type="http://schemas.openxmlformats.org/officeDocument/2006/relationships/worksheet" Target="/xl/worksheets/sheet5.xml" Id="R90f32dfcfbf845c2" /><Relationship Type="http://schemas.openxmlformats.org/officeDocument/2006/relationships/worksheet" Target="/xl/worksheets/sheet6.xml" Id="R535a0cb840fa43d6" /><Relationship Type="http://schemas.openxmlformats.org/officeDocument/2006/relationships/worksheet" Target="/xl/worksheets/sheet7.xml" Id="R1396fb174f6d462a" /><Relationship Type="http://schemas.openxmlformats.org/officeDocument/2006/relationships/worksheet" Target="/xl/worksheets/sheet8.xml" Id="R6a9044efb54e43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a78d29e536584c8f" /><Relationship Type="http://schemas.openxmlformats.org/officeDocument/2006/relationships/chart" Target="/xl/drawings/charts/chart2.xml" Id="Rc31118610c914348" /><Relationship Type="http://schemas.openxmlformats.org/officeDocument/2006/relationships/chart" Target="/xl/drawings/charts/chart3.xml" Id="Rc1774cad45894bf6"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Current Campaign Mix (Merchant Excluded)</a:t>
            </a:r>
          </a:p>
        </c:rich>
      </c:tx>
      <c:overlay val="0"/>
    </c:title>
    <c:autoTitleDeleted val="0"/>
    <c:plotArea>
      <c:layout/>
      <c:barChart>
        <c:barDir val="col"/>
        <c:grouping val="clustered"/>
        <c:varyColors val="0"/>
        <c:ser>
          <c:idx val="0"/>
          <c:order val="0"/>
          <c:tx>
            <c:v>Market Count</c:v>
          </c:tx>
          <c:cat>
            <c:strRef>
              <c:f>'Executive Dashboard'!$X$19:$X$24</c:f>
              <c:strCache>
                <c:ptCount val="6"/>
                <c:pt idx="0">
                  <c:v>Remittance</c:v>
                </c:pt>
                <c:pt idx="1">
                  <c:v>Musaned</c:v>
                </c:pt>
                <c:pt idx="2">
                  <c:v>SADAD</c:v>
                </c:pt>
                <c:pt idx="3">
                  <c:v>Card</c:v>
                </c:pt>
                <c:pt idx="4">
                  <c:v>Engagement</c:v>
                </c:pt>
                <c:pt idx="5">
                  <c:v>Other</c:v>
                </c:pt>
              </c:strCache>
            </c:strRef>
          </c:cat>
          <c:val>
            <c:numRef>
              <c:f>'Executive Dashboard'!$Y$19:$Y$24</c:f>
              <c:numCache>
                <c:formatCode>General</c:formatCode>
                <c:ptCount val="6"/>
                <c:pt idx="0">
                  <c:v>9</c:v>
                </c:pt>
                <c:pt idx="1">
                  <c:v>1</c:v>
                </c:pt>
                <c:pt idx="2">
                  <c:v>1</c:v>
                </c:pt>
                <c:pt idx="3">
                  <c:v>10</c:v>
                </c:pt>
                <c:pt idx="4">
                  <c:v>2</c:v>
                </c:pt>
                <c:pt idx="5">
                  <c:v>1</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Remittance Campaign Focus</a:t>
            </a:r>
          </a:p>
        </c:rich>
      </c:tx>
      <c:overlay val="0"/>
    </c:title>
    <c:autoTitleDeleted val="0"/>
    <c:plotArea>
      <c:layout/>
      <c:barChart>
        <c:barDir val="col"/>
        <c:grouping val="clustered"/>
        <c:varyColors val="0"/>
        <c:ser>
          <c:idx val="0"/>
          <c:order val="0"/>
          <c:tx>
            <c:v>Remittance Campaigns</c:v>
          </c:tx>
          <c:cat>
            <c:strRef>
              <c:f>'Executive Dashboard'!$X$31:$X$36</c:f>
              <c:strCache>
                <c:ptCount val="6"/>
                <c:pt idx="0">
                  <c:v>STC Bank</c:v>
                </c:pt>
                <c:pt idx="1">
                  <c:v>barq</c:v>
                </c:pt>
                <c:pt idx="2">
                  <c:v>Mobily Pay</c:v>
                </c:pt>
                <c:pt idx="3">
                  <c:v>tiqmo</c:v>
                </c:pt>
                <c:pt idx="4">
                  <c:v>urpay</c:v>
                </c:pt>
                <c:pt idx="5">
                  <c:v>alinma pay</c:v>
                </c:pt>
              </c:strCache>
            </c:strRef>
          </c:cat>
          <c:val>
            <c:numRef>
              <c:f>'Executive Dashboard'!$Y$31:$Y$36</c:f>
              <c:numCache>
                <c:formatCode>General</c:formatCode>
                <c:ptCount val="6"/>
                <c:pt idx="0">
                  <c:v>0</c:v>
                </c:pt>
                <c:pt idx="1">
                  <c:v>2</c:v>
                </c:pt>
                <c:pt idx="2">
                  <c:v>3</c:v>
                </c:pt>
                <c:pt idx="3">
                  <c:v>2</c:v>
                </c:pt>
                <c:pt idx="4">
                  <c:v>0</c:v>
                </c:pt>
                <c:pt idx="5">
                  <c:v>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plotArea>
      <c:layout/>
      <c:barChart>
        <c:barDir val="col"/>
        <c:grouping val="clustered"/>
        <c:varyColors val="0"/>
        <c:ser>
          <c:idx val="0"/>
          <c:order val="0"/>
          <c:tx>
            <c:strRef>
              <c:f>'Executive Dashboard'!$B$9</c:f>
              <c:strCache>
                <c:ptCount val="1"/>
                <c:pt idx="0">
                  <c:v>Current Campaigns</c:v>
                </c:pt>
              </c:strCache>
            </c:strRef>
          </c:tx>
          <c:spPr>
            <a:solidFill xmlns:a="http://schemas.openxmlformats.org/drawingml/2006/main">
              <a:schemeClr val="accent1"/>
            </a:solidFill>
            <a:ln xmlns:a="http://schemas.openxmlformats.org/drawingml/2006/main">
              <a:noFill/>
            </a:ln>
          </c:spPr>
          <c:cat>
            <c:strRef>
              <c:f>'Executive Dashboard'!$A$10:$A$15</c:f>
              <c:strCache>
                <c:ptCount val="6"/>
                <c:pt idx="0">
                  <c:v>STC Bank</c:v>
                </c:pt>
                <c:pt idx="1">
                  <c:v>barq</c:v>
                </c:pt>
                <c:pt idx="2">
                  <c:v>Mobily Pay</c:v>
                </c:pt>
                <c:pt idx="3">
                  <c:v>tiqmo</c:v>
                </c:pt>
                <c:pt idx="4">
                  <c:v>urpay</c:v>
                </c:pt>
                <c:pt idx="5">
                  <c:v>alinma pay</c:v>
                </c:pt>
              </c:strCache>
            </c:strRef>
          </c:cat>
          <c:val>
            <c:numRef>
              <c:f>'Executive Dashboard'!$B$10:$B$15</c:f>
              <c:numCache>
                <c:formatCode>General</c:formatCode>
                <c:ptCount val="6"/>
                <c:pt idx="0">
                  <c:v>4</c:v>
                </c:pt>
                <c:pt idx="1">
                  <c:v>5</c:v>
                </c:pt>
                <c:pt idx="2">
                  <c:v>5</c:v>
                </c:pt>
                <c:pt idx="3">
                  <c:v>4</c:v>
                </c:pt>
                <c:pt idx="4">
                  <c:v>2</c:v>
                </c:pt>
                <c:pt idx="5">
                  <c:v>4</c:v>
                </c:pt>
              </c:numCache>
            </c:numRef>
          </c:val>
        </c:ser>
        <c:dLbls>
          <c:dLblPos val="ctr"/>
          <c:showLegendKey val="0"/>
          <c:showVal val="1"/>
          <c:showCatName val="0"/>
          <c:showSerName val="0"/>
          <c:showPercent val="0"/>
          <c:showBubbleSize val="0"/>
          <c:showLeaderLines val="0"/>
        </c:dLbls>
        <c:gapWidth val="79"/>
        <c:axId val="48650112"/>
        <c:axId val="48672768"/>
      </c:barChart>
      <c:catAx>
        <c:axId val="48650112"/>
        <c:scaling>
          <c:orientation val="minMax"/>
        </c:scaling>
        <c:delete val="0"/>
        <c:axPos val="b"/>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800" b="0" i="0" u="none" cap="all">
                <a:solidFill>
                  <a:schemeClr val="tx1">
                    <a:lumMod val="65000"/>
                    <a:lumOff val="35000"/>
                  </a:schemeClr>
                </a:solidFill>
                <a:latin typeface="+mn-lt"/>
                <a:ea typeface="+mn-lt"/>
                <a:cs typeface="+mn-lt"/>
              </a:defRPr>
            </a:pPr>
          </a:p>
        </c:txPr>
        <c:crossAx val="48672768"/>
        <c:crosses val="autoZero"/>
        <c:lblAlgn val="ctr"/>
        <c:lblOffset val="100"/>
        <c:noMultiLvlLbl val="0"/>
      </c:catAx>
      <c:valAx>
        <c:axId val="48672768"/>
        <c:scaling>
          <c:orientation val="minMax"/>
        </c:scaling>
        <c:delete val="1"/>
        <c:axPos val="l"/>
        <c:numFmt formatCode="General" sourceLinked="1"/>
        <c:majorTickMark val="none"/>
        <c:minorTickMark val="none"/>
        <c:tickLblPos val="nextTo"/>
        <c:crossAx val="48650112"/>
        <c:crosses val="autoZero"/>
        <c:crossBetween val="between"/>
      </c:valAx>
    </c:plotArea>
    <c:legend>
      <c:legendPos val="t"/>
      <c:overlay val="0"/>
      <c:spPr>
        <a:noFill xmlns:a="http://schemas.openxmlformats.org/drawingml/2006/main"/>
      </c:spPr>
      <c:txPr>
        <a:bodyPr xmlns:a="http://schemas.openxmlformats.org/drawingml/2006/main" rot="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legend>
    <c:plotVisOnly val="1"/>
  </c:chart>
  <c:spPr>
    <a:solidFill xmlns:a="http://schemas.openxmlformats.org/drawingml/2006/main">
      <a:schemeClr val="lt1"/>
    </a:solidFill>
    <a:ln xmlns:a="http://schemas.openxmlformats.org/drawingml/2006/main" w="9525" cmpd="sng">
      <a:noFill/>
    </a:ln>
  </c:spPr>
</c:chartSpace>
</file>

<file path=xl/drawings/drawing1.xml><?xml version="1.0" encoding="utf-8"?>
<xdr:wsDr xmlns:xdr="http://schemas.openxmlformats.org/drawingml/2006/spreadsheetDrawing">
  <xdr:twoCellAnchor>
    <xdr:from>
      <xdr:col>7</xdr:col>
      <xdr:colOff>328447</xdr:colOff>
      <xdr:row>18</xdr:row>
      <xdr:rowOff>1</xdr:rowOff>
    </xdr:from>
    <xdr:to>
      <xdr:col>12</xdr:col>
      <xdr:colOff>547414</xdr:colOff>
      <xdr:row>28</xdr:row>
      <xdr:rowOff>142328</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78d29e536584c8f"/>
        </a:graphicData>
      </a:graphic>
    </xdr:graphicFrame>
    <xdr:clientData/>
  </xdr:twoCellAnchor>
  <xdr:twoCellAnchor>
    <xdr:from>
      <xdr:col>7</xdr:col>
      <xdr:colOff>317500</xdr:colOff>
      <xdr:row>30</xdr:row>
      <xdr:rowOff>1</xdr:rowOff>
    </xdr:from>
    <xdr:to>
      <xdr:col>12</xdr:col>
      <xdr:colOff>613103</xdr:colOff>
      <xdr:row>40</xdr:row>
      <xdr:rowOff>153276</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1118610c914348"/>
        </a:graphicData>
      </a:graphic>
    </xdr:graphicFrame>
    <xdr:clientData/>
  </xdr:twoCellAnchor>
  <xdr:twoCellAnchor>
    <xdr:from>
      <xdr:col>13</xdr:col>
      <xdr:colOff>193782</xdr:colOff>
      <xdr:row>5</xdr:row>
      <xdr:rowOff>10948</xdr:rowOff>
    </xdr:from>
    <xdr:to>
      <xdr:col>22</xdr:col>
      <xdr:colOff>54740</xdr:colOff>
      <xdr:row>16</xdr:row>
      <xdr:rowOff>164224</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1774cad45894bf6"/>
        </a:graphicData>
      </a:graphic>
    </xdr:graphicFrame>
    <xdr:clientData/>
  </xdr:twoCellAnchor>
</xdr:wsDr>
</file>

<file path=xl/tables/table1.xml><?xml version="1.0" encoding="utf-8"?>
<x:table xmlns:x="http://schemas.openxmlformats.org/spreadsheetml/2006/main" id="7" name="STCBankCampaigns" displayName="STCBankCampaigns" ref="A8:U53">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2.xml><?xml version="1.0" encoding="utf-8"?>
<x:table xmlns:x="http://schemas.openxmlformats.org/spreadsheetml/2006/main" id="8" name="barqCampaigns" displayName="barq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3.xml><?xml version="1.0" encoding="utf-8"?>
<x:table xmlns:x="http://schemas.openxmlformats.org/spreadsheetml/2006/main" id="9" name="MobilyPayCampaigns" displayName="Mobily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4.xml><?xml version="1.0" encoding="utf-8"?>
<x:table xmlns:x="http://schemas.openxmlformats.org/spreadsheetml/2006/main" id="10" name="tiqmoCampaigns" displayName="tiqmo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5.xml><?xml version="1.0" encoding="utf-8"?>
<x:table xmlns:x="http://schemas.openxmlformats.org/spreadsheetml/2006/main" id="11" name="urpayCampaigns" displayName="urpayCampaigns" ref="A8:U46">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ables/table6.xml><?xml version="1.0" encoding="utf-8"?>
<x:table xmlns:x="http://schemas.openxmlformats.org/spreadsheetml/2006/main" id="12" name="alinmapayCampaigns" displayName="alinmapayCampaigns" ref="A8:U42">
  <x:tableColumns count="21">
    <x:tableColumn id="1" name="Record ID"/>
    <x:tableColumn id="2" name="Campaign Category"/>
    <x:tableColumn id="3" name="Campaign Name"/>
    <x:tableColumn id="4" name="Summary"/>
    <x:tableColumn id="5" name="Published Date"/>
    <x:tableColumn id="6" name="Start Date"/>
    <x:tableColumn id="7" name="End Date"/>
    <x:tableColumn id="8" name="Days Remaining"/>
    <x:tableColumn id="9" name="Current Status"/>
    <x:tableColumn id="10" name="Operation Type"/>
    <x:tableColumn id="11" name="Mechanic / Offer"/>
    <x:tableColumn id="12" name="Eligibility / Product"/>
    <x:tableColumn id="13" name="Primary Official Source URL"/>
    <x:tableColumn id="14" name="Official Campaign Page URL"/>
    <x:tableColumn id="15" name="Instagram Post URL"/>
    <x:tableColumn id="16" name="X Post URL"/>
    <x:tableColumn id="17" name="Facebook Post URL"/>
    <x:tableColumn id="18" name="TikTok Post URL"/>
    <x:tableColumn id="19" name="Terms / Timing Note"/>
    <x:tableColumn id="20" name="Last Reviewed"/>
    <x:tableColumn id="21" name="Published Social Platform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d9b1feeed504ee7" /></Relationships>
</file>

<file path=xl/worksheets/_rels/sheet2.xml.rels>&#65279;<?xml version="1.0" encoding="utf-8"?><Relationships xmlns="http://schemas.openxmlformats.org/package/2006/relationships"><Relationship Type="http://schemas.openxmlformats.org/officeDocument/2006/relationships/table" Target="/xl/tables/table1.xml" Id="R7b570c03836c4987" /></Relationships>
</file>

<file path=xl/worksheets/_rels/sheet3.xml.rels>&#65279;<?xml version="1.0" encoding="utf-8"?><Relationships xmlns="http://schemas.openxmlformats.org/package/2006/relationships"><Relationship Type="http://schemas.openxmlformats.org/officeDocument/2006/relationships/table" Target="/xl/tables/table2.xml" Id="R2cef492c71ff4799" /></Relationships>
</file>

<file path=xl/worksheets/_rels/sheet4.xml.rels>&#65279;<?xml version="1.0" encoding="utf-8"?><Relationships xmlns="http://schemas.openxmlformats.org/package/2006/relationships"><Relationship Type="http://schemas.openxmlformats.org/officeDocument/2006/relationships/table" Target="/xl/tables/table3.xml" Id="Rf56c8f61049c4388" /></Relationships>
</file>

<file path=xl/worksheets/_rels/sheet5.xml.rels>&#65279;<?xml version="1.0" encoding="utf-8"?><Relationships xmlns="http://schemas.openxmlformats.org/package/2006/relationships"><Relationship Type="http://schemas.openxmlformats.org/officeDocument/2006/relationships/table" Target="/xl/tables/table4.xml" Id="R11aeda7c43f84b58" /></Relationships>
</file>

<file path=xl/worksheets/_rels/sheet6.xml.rels>&#65279;<?xml version="1.0" encoding="utf-8"?><Relationships xmlns="http://schemas.openxmlformats.org/package/2006/relationships"><Relationship Type="http://schemas.openxmlformats.org/officeDocument/2006/relationships/table" Target="/xl/tables/table5.xml" Id="R22b8447572ee4d08" /></Relationships>
</file>

<file path=xl/worksheets/_rels/sheet7.xml.rels>&#65279;<?xml version="1.0" encoding="utf-8"?><Relationships xmlns="http://schemas.openxmlformats.org/package/2006/relationships"><Relationship Type="http://schemas.openxmlformats.org/officeDocument/2006/relationships/table" Target="/xl/tables/table6.xml" Id="R0978fa95d2494467" /></Relationships>
</file>

<file path=xl/worksheets/sheet1.xml><?xml version="1.0" encoding="utf-8"?>
<x:worksheet xmlns:x="http://schemas.openxmlformats.org/spreadsheetml/2006/main">
  <x:sheetViews>
    <x:sheetView showGridLines="0" workbookViewId="0"/>
  </x:sheetViews>
  <x:sheetFormatPr defaultRowHeight="14"/>
  <x:cols>
    <x:col min="1" max="1" width="18.75" customWidth="1"/>
    <x:col min="2" max="2" width="20.75" customWidth="1"/>
    <x:col min="3" max="3" width="22.5" customWidth="1"/>
    <x:col min="4" max="4" width="16.1640625" customWidth="1"/>
    <x:col min="5" max="5" width="26.9140625" customWidth="1"/>
    <x:col min="6" max="6" width="14.33203125" customWidth="1"/>
    <x:col min="7" max="7" width="26" customWidth="1"/>
    <x:col min="8" max="8" width="12" customWidth="1"/>
    <x:col min="9" max="11" width="15" customWidth="1"/>
    <x:col min="12" max="12" width="14" customWidth="1"/>
    <x:col min="13" max="13" width="16" customWidth="1"/>
    <x:col min="14" max="14" width="24" customWidth="1"/>
    <x:col min="24" max="25" width="2" customWidth="1"/>
  </x:cols>
  <x:sheetData>
    <x:row r="1" ht="24" customHeight="1">
      <x:c r="A1" s="38" t="s">
        <x:v>0</x:v>
      </x:c>
      <x:c r="B1" s="38"/>
      <x:c r="C1" s="38"/>
      <x:c r="D1" s="38"/>
      <x:c r="E1" s="38"/>
      <x:c r="F1" s="38"/>
      <x:c r="G1" s="38"/>
      <x:c r="H1" s="38"/>
      <x:c r="I1" s="38"/>
      <x:c r="J1" s="38"/>
      <x:c r="K1" s="38"/>
      <x:c r="L1" s="38"/>
      <x:c r="M1" s="38"/>
      <x:c r="N1" s="38"/>
    </x:row>
    <x:row r="2">
      <x:c r="A2" s="39" t="s">
        <x:v>1</x:v>
      </x:c>
      <x:c r="B2" s="39"/>
      <x:c r="C2" s="39"/>
      <x:c r="D2" s="39"/>
      <x:c r="E2" s="39"/>
      <x:c r="F2" s="39"/>
      <x:c r="G2" s="39"/>
      <x:c r="H2" s="39"/>
      <x:c r="I2" s="39"/>
      <x:c r="J2" s="39"/>
      <x:c r="K2" s="39"/>
      <x:c r="L2" s="39"/>
      <x:c r="M2" s="39"/>
      <x:c r="N2" s="39"/>
    </x:row>
    <x:row r="3" ht="28" customHeight="1">
      <x:c r="A3" s="10" t="str">
        <x:v>Research Cut-off</x:v>
      </x:c>
      <x:c r="B3" s="11" t="n">
        <x:v>46240</x:v>
      </x:c>
      <x:c r="C3" s="10"/>
      <x:c r="D3" s="10" t="s">
        <x:v>2</x:v>
      </x:c>
      <x:c r="E3" s="11" t="n">
        <x:f>TODAY()</x:f>
        <x:v>46240</x:v>
      </x:c>
      <x:c r="F3" s="10"/>
      <x:c r="G3" s="40" t="s">
        <x:v>3</x:v>
      </x:c>
      <x:c r="H3" s="40"/>
      <x:c r="I3" s="40"/>
      <x:c r="J3" s="40"/>
      <x:c r="K3" s="40"/>
      <x:c r="L3" s="40"/>
      <x:c r="M3" s="40"/>
      <x:c r="N3" s="40"/>
    </x:row>
    <x:row r="5" ht="17.399999618530273" customHeight="1">
      <x:c r="A5" s="12" t="s">
        <x:v>4</x:v>
      </x:c>
      <x:c r="B5" s="12"/>
      <x:c r="C5" s="14" t="s">
        <x:v>5</x:v>
      </x:c>
      <x:c r="D5" s="14"/>
      <x:c r="E5" s="16" t="s">
        <x:v>6</x:v>
      </x:c>
      <x:c r="F5" s="16"/>
      <x:c r="G5" s="12" t="s">
        <x:v>7</x:v>
      </x:c>
      <x:c r="H5" s="12"/>
      <x:c r="I5" s="41" t="s">
        <x:v>8</x:v>
      </x:c>
      <x:c r="J5" s="41"/>
    </x:row>
    <x:row r="6" ht="25.399999618530273" customHeight="1">
      <x:c r="A6" s="13" t="n">
        <x:f>SUM(B10:B15)</x:f>
        <x:v>24</x:v>
      </x:c>
      <x:c r="B6" s="13"/>
      <x:c r="C6" s="15" t="n">
        <x:f>SUM(H10:H15)</x:f>
        <x:v>8</x:v>
      </x:c>
      <x:c r="D6" s="15"/>
      <x:c r="E6" s="17" t="n">
        <x:f>SUM(M10:M15)</x:f>
        <x:v>15</x:v>
      </x:c>
      <x:c r="F6" s="17"/>
      <x:c r="G6" s="13" t="n">
        <x:f>SUM(E10:F15)</x:f>
        <x:v>5</x:v>
      </x:c>
      <x:c r="H6" s="13"/>
      <x:c r="I6" s="42" t="n">
        <x:f>SUM(G10:G15)</x:f>
        <x:v>5</x:v>
      </x:c>
      <x:c r="J6" s="42"/>
    </x:row>
    <x:row r="9" ht="30.649999618530273" customHeight="1">
      <x:c r="A9" s="18" t="s">
        <x:v>9</x:v>
      </x:c>
      <x:c r="B9" s="18" t="s">
        <x:v>4</x:v>
      </x:c>
      <x:c r="C9" s="18" t="s">
        <x:v>10</x:v>
      </x:c>
      <x:c r="D9" s="18" t="s">
        <x:v>11</x:v>
      </x:c>
      <x:c r="E9" s="18" t="s">
        <x:v>12</x:v>
      </x:c>
      <x:c r="F9" s="18" t="s">
        <x:v>13</x:v>
      </x:c>
      <x:c r="G9" s="18" t="s">
        <x:v>14</x:v>
      </x:c>
      <x:c r="H9" s="19" t="s">
        <x:v>15</x:v>
      </x:c>
      <x:c r="I9" s="18" t="s">
        <x:v>16</x:v>
      </x:c>
      <x:c r="J9" s="18" t="s">
        <x:v>17</x:v>
      </x:c>
      <x:c r="K9" s="18" t="s">
        <x:v>18</x:v>
      </x:c>
      <x:c r="L9" s="18" t="s">
        <x:v>19</x:v>
      </x:c>
      <x:c r="M9" s="18" t="s">
        <x:v>6</x:v>
      </x:c>
    </x:row>
    <x:row r="10" ht="28" customHeight="1">
      <x:c r="A10" s="2" t="s">
        <x:v>20</x:v>
      </x:c>
      <x:c r="B10" s="2" t="n">
        <x:f>COUNTIFS('STC Bank'!$C$9:$C$500,"&lt;&gt;",'STC Bank'!$M$9:$M$500,"&lt;&gt;",'STC Bank'!$B$9:$B$500,"&lt;&gt;Merchant",'STC Bank'!$I$9:$I$500,"&lt;&gt;Expired")</x:f>
        <x:v>5</x:v>
      </x:c>
      <x:c r="C10" s="2" t="n">
        <x:f>COUNTIFS('STC Bank'!$C$9:$C$500,"&lt;&gt;",'STC Bank'!$M$9:$M$500,"&lt;&gt;",'STC Bank'!$B$9:$B$500,"&lt;&gt;Merchant",'STC Bank'!$I$9:$I$500,"Active")</x:f>
        <x:v>1</x:v>
      </x:c>
      <x:c r="D10" s="2" t="n">
        <x:f>COUNTIFS('STC Bank'!$C$9:$C$500,"&lt;&gt;",'STC Bank'!$M$9:$M$500,"&lt;&gt;",'STC Bank'!$B$9:$B$500,"&lt;&gt;Merchant",'STC Bank'!$I$9:$I$500,"End Date Not Stated")</x:f>
        <x:v>1</x:v>
      </x:c>
      <x:c r="E10" s="2" t="n">
        <x:f>COUNTIFS('STC Bank'!$C$9:$C$500,"&lt;&gt;",'STC Bank'!$M$9:$M$500,"&lt;&gt;",'STC Bank'!$B$9:$B$500,"&lt;&gt;Merchant",'STC Bank'!$I$9:$I$500,"Expiring ≤7 Days")</x:f>
        <x:v>0</x:v>
      </x:c>
      <x:c r="F10" s="2" t="n">
        <x:f>COUNTIFS('STC Bank'!$C$9:$C$500,"&lt;&gt;",'STC Bank'!$M$9:$M$500,"&lt;&gt;",'STC Bank'!$B$9:$B$500,"&lt;&gt;Merchant",'STC Bank'!$I$9:$I$500,"Expiring 8–30 Days")</x:f>
        <x:v>3</x:v>
      </x:c>
      <x:c r="G10" s="2" t="n">
        <x:f>COUNTIFS('STC Bank'!$C$9:$C$500,"&lt;&gt;",'STC Bank'!$M$9:$M$500,"&lt;&gt;",'STC Bank'!$B$9:$B$500,"&lt;&gt;Merchant",'STC Bank'!$I$9:$I$500,"Expired")</x:f>
        <x:v>1</x:v>
      </x:c>
      <x:c r="H10" s="20" t="n">
        <x:f>COUNTIFS('STC Bank'!$C$9:$C$500,"&lt;&gt;",'STC Bank'!$M$9:$M$500,"&lt;&gt;",'STC Bank'!$B$9:$B$500,"&lt;&gt;Merchant",'STC Bank'!$I$9:$I$500,"&lt;&gt;Expired",'STC Bank'!$B$9:$B$500,"Remittance")</x:f>
        <x:v>0</x:v>
      </x:c>
      <x:c r="I10" s="2" t="n">
        <x:f>COUNTIFS('STC Bank'!$C$9:$C$500,"&lt;&gt;",'STC Bank'!$M$9:$M$500,"&lt;&gt;",'STC Bank'!$B$9:$B$500,"&lt;&gt;Merchant",'STC Bank'!$I$9:$I$500,"&lt;&gt;Expired",'STC Bank'!$B$9:$B$500,"Musaned")</x:f>
        <x:v>0</x:v>
      </x:c>
      <x:c r="J10" s="2" t="n">
        <x:f>COUNTIFS('STC Bank'!$C$9:$C$500,"&lt;&gt;",'STC Bank'!$M$9:$M$500,"&lt;&gt;",'STC Bank'!$B$9:$B$500,"&lt;&gt;Merchant",'STC Bank'!$I$9:$I$500,"&lt;&gt;Expired",'STC Bank'!$B$9:$B$500,"SADAD")</x:f>
        <x:v>0</x:v>
      </x:c>
      <x:c r="K10" s="2" t="n">
        <x:f>COUNTIFS('STC Bank'!$C$9:$C$500,"&lt;&gt;",'STC Bank'!$M$9:$M$500,"&lt;&gt;",'STC Bank'!$B$9:$B$500,"&lt;&gt;Merchant",'STC Bank'!$I$9:$I$500,"&lt;&gt;Expired",'STC Bank'!$B$9:$B$500,"Card")</x:f>
        <x:v>5</x:v>
      </x:c>
      <x:c r="L10" s="2" t="n">
        <x:f>COUNTIFS('STC Bank'!$C$9:$C$500,"&lt;&gt;",'STC Bank'!$M$9:$M$500,"&lt;&gt;",'STC Bank'!$B$9:$B$500,"&lt;&gt;Merchant",'STC Bank'!$I$9:$I$500,"&lt;&gt;Expired",'STC Bank'!$B$9:$B$500,"Engagement")</x:f>
        <x:v>0</x:v>
      </x:c>
      <x:c r="M10" s="2" t="n">
        <x:f>COUNTIFS('STC Bank'!$C$9:$C$500,"&lt;&gt;",'STC Bank'!$M$9:$M$500,"&lt;&gt;",'STC Bank'!$B$9:$B$500,"Merchant",'STC Bank'!$I$9:$I$500,"&lt;&gt;Expired")</x:f>
        <x:v>8</x:v>
      </x:c>
    </x:row>
    <x:row r="11" ht="28" customHeight="1">
      <x:c r="A11" s="2" t="s">
        <x:v>21</x:v>
      </x:c>
      <x:c r="B11" s="2" t="n">
        <x:f>COUNTIFS(barq!$C$9:$C$499,"&lt;&gt;",barq!$M$9:$M$499,"&lt;&gt;",barq!$B$9:$B$499,"&lt;&gt;Merchant",barq!$I$9:$I$499,"&lt;&gt;Expired")</x:f>
        <x:v>5</x:v>
      </x:c>
      <x:c r="C11" s="2" t="n">
        <x:f>COUNTIFS(barq!$C$9:$C$499,"&lt;&gt;",barq!$M$9:$M$499,"&lt;&gt;",barq!$B$9:$B$499,"&lt;&gt;Merchant",barq!$I$9:$I$499,"Active")</x:f>
        <x:v>0</x:v>
      </x:c>
      <x:c r="D11" s="2" t="n">
        <x:f>COUNTIFS(barq!$C$9:$C$499,"&lt;&gt;",barq!$M$9:$M$499,"&lt;&gt;",barq!$B$9:$B$499,"&lt;&gt;Merchant",barq!$I$9:$I$499,"End Date Not Stated")</x:f>
        <x:v>5</x:v>
      </x:c>
      <x:c r="E11" s="2" t="n">
        <x:f>COUNTIFS(barq!$C$9:$C$499,"&lt;&gt;",barq!$M$9:$M$499,"&lt;&gt;",barq!$B$9:$B$499,"&lt;&gt;Merchant",barq!$I$9:$I$499,"Expiring ≤7 Days")</x:f>
        <x:v>0</x:v>
      </x:c>
      <x:c r="F11" s="2" t="n">
        <x:f>COUNTIFS(barq!$C$9:$C$499,"&lt;&gt;",barq!$M$9:$M$499,"&lt;&gt;",barq!$B$9:$B$499,"&lt;&gt;Merchant",barq!$I$9:$I$499,"Expiring 8–30 Days")</x:f>
        <x:v>0</x:v>
      </x:c>
      <x:c r="G11" s="2" t="n">
        <x:f>COUNTIFS(barq!$C$9:$C$499,"&lt;&gt;",barq!$M$9:$M$499,"&lt;&gt;",barq!$B$9:$B$499,"&lt;&gt;Merchant",barq!$I$9:$I$499,"Expired")</x:f>
        <x:v>0</x:v>
      </x:c>
      <x:c r="H11" s="20" t="n">
        <x:f>COUNTIFS(barq!$C$9:$C$499,"&lt;&gt;",barq!$M$9:$M$499,"&lt;&gt;",barq!$B$9:$B$499,"&lt;&gt;Merchant",barq!$I$9:$I$499,"&lt;&gt;Expired",barq!$B$9:$B$499,"Remittance")</x:f>
        <x:v>2</x:v>
      </x:c>
      <x:c r="I11" s="2" t="n">
        <x:f>COUNTIFS(barq!$C$9:$C$499,"&lt;&gt;",barq!$M$9:$M$499,"&lt;&gt;",barq!$B$9:$B$499,"&lt;&gt;Merchant",barq!$I$9:$I$499,"&lt;&gt;Expired",barq!$B$9:$B$499,"Musaned")</x:f>
        <x:v>0</x:v>
      </x:c>
      <x:c r="J11" s="2" t="n">
        <x:f>COUNTIFS(barq!$C$9:$C$499,"&lt;&gt;",barq!$M$9:$M$499,"&lt;&gt;",barq!$B$9:$B$499,"&lt;&gt;Merchant",barq!$I$9:$I$499,"&lt;&gt;Expired",barq!$B$9:$B$499,"SADAD")</x:f>
        <x:v>0</x:v>
      </x:c>
      <x:c r="K11" s="2" t="n">
        <x:f>COUNTIFS(barq!$C$9:$C$499,"&lt;&gt;",barq!$M$9:$M$499,"&lt;&gt;",barq!$B$9:$B$499,"&lt;&gt;Merchant",barq!$I$9:$I$499,"&lt;&gt;Expired",barq!$B$9:$B$499,"Card")</x:f>
        <x:v>1</x:v>
      </x:c>
      <x:c r="L11" s="2" t="n">
        <x:f>COUNTIFS(barq!$C$9:$C$499,"&lt;&gt;",barq!$M$9:$M$499,"&lt;&gt;",barq!$B$9:$B$499,"&lt;&gt;Merchant",barq!$I$9:$I$499,"&lt;&gt;Expired",barq!$B$9:$B$499,"Engagement")</x:f>
        <x:v>2</x:v>
      </x:c>
      <x:c r="M11" s="2" t="n">
        <x:f>COUNTIFS(barq!$C$9:$C$499,"&lt;&gt;",barq!$M$9:$M$499,"&lt;&gt;",barq!$B$9:$B$499,"Merchant",barq!$I$9:$I$499,"&lt;&gt;Expired")</x:f>
        <x:v>1</x:v>
      </x:c>
    </x:row>
    <x:row r="12" ht="28" customHeight="1">
      <x:c r="A12" s="2" t="s">
        <x:v>22</x:v>
      </x:c>
      <x:c r="B12" s="2" t="n">
        <x:f>COUNTIFS('Mobily Pay'!$C$9:$C$500,"&lt;&gt;",'Mobily Pay'!$M$9:$M$500,"&lt;&gt;",'Mobily Pay'!$B$9:$B$500,"&lt;&gt;Merchant",'Mobily Pay'!$I$9:$I$500,"&lt;&gt;Expired")</x:f>
        <x:v>3</x:v>
      </x:c>
      <x:c r="C12" s="2" t="n">
        <x:f>COUNTIFS('Mobily Pay'!$C$9:$C$500,"&lt;&gt;",'Mobily Pay'!$M$9:$M$500,"&lt;&gt;",'Mobily Pay'!$B$9:$B$500,"&lt;&gt;Merchant",'Mobily Pay'!$I$9:$I$500,"Active")</x:f>
        <x:v>1</x:v>
      </x:c>
      <x:c r="D12" s="2" t="n">
        <x:f>COUNTIFS('Mobily Pay'!$C$9:$C$500,"&lt;&gt;",'Mobily Pay'!$M$9:$M$500,"&lt;&gt;",'Mobily Pay'!$B$9:$B$500,"&lt;&gt;Merchant",'Mobily Pay'!$I$9:$I$500,"End Date Not Stated")</x:f>
        <x:v>1</x:v>
      </x:c>
      <x:c r="E12" s="2" t="n">
        <x:f>COUNTIFS('Mobily Pay'!$C$9:$C$500,"&lt;&gt;",'Mobily Pay'!$M$9:$M$500,"&lt;&gt;",'Mobily Pay'!$B$9:$B$500,"&lt;&gt;Merchant",'Mobily Pay'!$I$9:$I$500,"Expiring ≤7 Days")</x:f>
        <x:v>0</x:v>
      </x:c>
      <x:c r="F12" s="2" t="n">
        <x:f>COUNTIFS('Mobily Pay'!$C$9:$C$500,"&lt;&gt;",'Mobily Pay'!$M$9:$M$500,"&lt;&gt;",'Mobily Pay'!$B$9:$B$500,"&lt;&gt;Merchant",'Mobily Pay'!$I$9:$I$500,"Expiring 8–30 Days")</x:f>
        <x:v>1</x:v>
      </x:c>
      <x:c r="G12" s="2" t="n">
        <x:f>COUNTIFS('Mobily Pay'!$C$9:$C$500,"&lt;&gt;",'Mobily Pay'!$M$9:$M$500,"&lt;&gt;",'Mobily Pay'!$B$9:$B$500,"&lt;&gt;Merchant",'Mobily Pay'!$I$9:$I$500,"Expired")</x:f>
        <x:v>2</x:v>
      </x:c>
      <x:c r="H12" s="20" t="n">
        <x:f>COUNTIFS('Mobily Pay'!$C$9:$C$500,"&lt;&gt;",'Mobily Pay'!$M$9:$M$500,"&lt;&gt;",'Mobily Pay'!$B$9:$B$500,"&lt;&gt;Merchant",'Mobily Pay'!$I$9:$I$500,"&lt;&gt;Expired",'Mobily Pay'!$B$9:$B$500,"Remittance")</x:f>
        <x:v>2</x:v>
      </x:c>
      <x:c r="I12" s="2" t="n">
        <x:f>COUNTIFS('Mobily Pay'!$C$9:$C$500,"&lt;&gt;",'Mobily Pay'!$M$9:$M$500,"&lt;&gt;",'Mobily Pay'!$B$9:$B$500,"&lt;&gt;Merchant",'Mobily Pay'!$I$9:$I$500,"&lt;&gt;Expired",'Mobily Pay'!$B$9:$B$500,"Musaned")</x:f>
        <x:v>0</x:v>
      </x:c>
      <x:c r="J12" s="2" t="n">
        <x:f>COUNTIFS('Mobily Pay'!$C$9:$C$500,"&lt;&gt;",'Mobily Pay'!$M$9:$M$500,"&lt;&gt;",'Mobily Pay'!$B$9:$B$500,"&lt;&gt;Merchant",'Mobily Pay'!$I$9:$I$500,"&lt;&gt;Expired",'Mobily Pay'!$B$9:$B$500,"SADAD")</x:f>
        <x:v>0</x:v>
      </x:c>
      <x:c r="K12" s="2" t="n">
        <x:f>COUNTIFS('Mobily Pay'!$C$9:$C$500,"&lt;&gt;",'Mobily Pay'!$M$9:$M$500,"&lt;&gt;",'Mobily Pay'!$B$9:$B$500,"&lt;&gt;Merchant",'Mobily Pay'!$I$9:$I$500,"&lt;&gt;Expired",'Mobily Pay'!$B$9:$B$500,"Card")</x:f>
        <x:v>1</x:v>
      </x:c>
      <x:c r="L12" s="2" t="n">
        <x:f>COUNTIFS('Mobily Pay'!$C$9:$C$500,"&lt;&gt;",'Mobily Pay'!$M$9:$M$500,"&lt;&gt;",'Mobily Pay'!$B$9:$B$500,"&lt;&gt;Merchant",'Mobily Pay'!$I$9:$I$500,"&lt;&gt;Expired",'Mobily Pay'!$B$9:$B$500,"Engagement")</x:f>
        <x:v>0</x:v>
      </x:c>
      <x:c r="M12" s="2" t="n">
        <x:f>COUNTIFS('Mobily Pay'!$C$9:$C$500,"&lt;&gt;",'Mobily Pay'!$M$9:$M$500,"&lt;&gt;",'Mobily Pay'!$B$9:$B$500,"Merchant",'Mobily Pay'!$I$9:$I$500,"&lt;&gt;Expired")</x:f>
        <x:v>1</x:v>
      </x:c>
    </x:row>
    <x:row r="13" ht="28" customHeight="1">
      <x:c r="A13" s="2" t="s">
        <x:v>23</x:v>
      </x:c>
      <x:c r="B13" s="2" t="n">
        <x:f>COUNTIFS(tiqmo!$C$9:$C$500,"&lt;&gt;",tiqmo!$M$9:$M$500,"&lt;&gt;",tiqmo!$B$9:$B$500,"&lt;&gt;Merchant",tiqmo!$I$9:$I$500,"&lt;&gt;Expired")</x:f>
        <x:v>3</x:v>
      </x:c>
      <x:c r="C13" s="2" t="n">
        <x:f>COUNTIFS(tiqmo!$C$9:$C$500,"&lt;&gt;",tiqmo!$M$9:$M$500,"&lt;&gt;",tiqmo!$B$9:$B$500,"&lt;&gt;Merchant",tiqmo!$I$9:$I$500,"Active")</x:f>
        <x:v>1</x:v>
      </x:c>
      <x:c r="D13" s="2" t="n">
        <x:f>COUNTIFS(tiqmo!$C$9:$C$500,"&lt;&gt;",tiqmo!$M$9:$M$500,"&lt;&gt;",tiqmo!$B$9:$B$500,"&lt;&gt;Merchant",tiqmo!$I$9:$I$500,"End Date Not Stated")</x:f>
        <x:v>2</x:v>
      </x:c>
      <x:c r="E13" s="2" t="n">
        <x:f>COUNTIFS(tiqmo!$C$9:$C$500,"&lt;&gt;",tiqmo!$M$9:$M$500,"&lt;&gt;",tiqmo!$B$9:$B$500,"&lt;&gt;Merchant",tiqmo!$I$9:$I$500,"Expiring ≤7 Days")</x:f>
        <x:v>0</x:v>
      </x:c>
      <x:c r="F13" s="2" t="n">
        <x:f>COUNTIFS(tiqmo!$C$9:$C$500,"&lt;&gt;",tiqmo!$M$9:$M$500,"&lt;&gt;",tiqmo!$B$9:$B$500,"&lt;&gt;Merchant",tiqmo!$I$9:$I$500,"Expiring 8–30 Days")</x:f>
        <x:v>0</x:v>
      </x:c>
      <x:c r="G13" s="2" t="n">
        <x:f>COUNTIFS(tiqmo!$C$9:$C$500,"&lt;&gt;",tiqmo!$M$9:$M$500,"&lt;&gt;",tiqmo!$B$9:$B$500,"&lt;&gt;Merchant",tiqmo!$I$9:$I$500,"Expired")</x:f>
        <x:v>2</x:v>
      </x:c>
      <x:c r="H13" s="20" t="n">
        <x:f>COUNTIFS(tiqmo!$C$9:$C$500,"&lt;&gt;",tiqmo!$M$9:$M$500,"&lt;&gt;",tiqmo!$B$9:$B$500,"&lt;&gt;Merchant",tiqmo!$I$9:$I$500,"&lt;&gt;Expired",tiqmo!$B$9:$B$500,"Remittance")</x:f>
        <x:v>1</x:v>
      </x:c>
      <x:c r="I13" s="2" t="n">
        <x:f>COUNTIFS(tiqmo!$C$9:$C$500,"&lt;&gt;",tiqmo!$M$9:$M$500,"&lt;&gt;",tiqmo!$B$9:$B$500,"&lt;&gt;Merchant",tiqmo!$I$9:$I$500,"&lt;&gt;Expired",tiqmo!$B$9:$B$500,"Musaned")</x:f>
        <x:v>0</x:v>
      </x:c>
      <x:c r="J13" s="2" t="n">
        <x:f>COUNTIFS(tiqmo!$C$9:$C$500,"&lt;&gt;",tiqmo!$M$9:$M$500,"&lt;&gt;",tiqmo!$B$9:$B$500,"&lt;&gt;Merchant",tiqmo!$I$9:$I$500,"&lt;&gt;Expired",tiqmo!$B$9:$B$500,"SADAD")</x:f>
        <x:v>1</x:v>
      </x:c>
      <x:c r="K13" s="2" t="n">
        <x:f>COUNTIFS(tiqmo!$C$9:$C$500,"&lt;&gt;",tiqmo!$M$9:$M$500,"&lt;&gt;",tiqmo!$B$9:$B$500,"&lt;&gt;Merchant",tiqmo!$I$9:$I$500,"&lt;&gt;Expired",tiqmo!$B$9:$B$500,"Card")</x:f>
        <x:v>1</x:v>
      </x:c>
      <x:c r="L13" s="2" t="n">
        <x:f>COUNTIFS(tiqmo!$C$9:$C$500,"&lt;&gt;",tiqmo!$M$9:$M$500,"&lt;&gt;",tiqmo!$B$9:$B$500,"&lt;&gt;Merchant",tiqmo!$I$9:$I$500,"&lt;&gt;Expired",tiqmo!$B$9:$B$500,"Engagement")</x:f>
        <x:v>0</x:v>
      </x:c>
      <x:c r="M13" s="2" t="n">
        <x:f>COUNTIFS(tiqmo!$C$9:$C$500,"&lt;&gt;",tiqmo!$M$9:$M$500,"&lt;&gt;",tiqmo!$B$9:$B$500,"Merchant",tiqmo!$I$9:$I$500,"&lt;&gt;Expired")</x:f>
        <x:v>0</x:v>
      </x:c>
    </x:row>
    <x:row r="14" ht="28" customHeight="1">
      <x:c r="A14" s="2" t="s">
        <x:v>24</x:v>
      </x:c>
      <x:c r="B14" s="2" t="n">
        <x:f>COUNTIFS(urpay!$C$9:$C$500,"&lt;&gt;",urpay!$M$9:$M$500,"&lt;&gt;",urpay!$B$9:$B$500,"&lt;&gt;Merchant",urpay!$I$9:$I$500,"&lt;&gt;Expired")</x:f>
        <x:v>3</x:v>
      </x:c>
      <x:c r="C14" s="2" t="n">
        <x:f>COUNTIFS(urpay!$C$9:$C$500,"&lt;&gt;",urpay!$M$9:$M$500,"&lt;&gt;",urpay!$B$9:$B$500,"&lt;&gt;Merchant",urpay!$I$9:$I$500,"Active")</x:f>
        <x:v>0</x:v>
      </x:c>
      <x:c r="D14" s="2" t="n">
        <x:f>COUNTIFS(urpay!$C$9:$C$500,"&lt;&gt;",urpay!$M$9:$M$500,"&lt;&gt;",urpay!$B$9:$B$500,"&lt;&gt;Merchant",urpay!$I$9:$I$500,"End Date Not Stated")</x:f>
        <x:v>3</x:v>
      </x:c>
      <x:c r="E14" s="2" t="n">
        <x:f>COUNTIFS(urpay!$C$9:$C$500,"&lt;&gt;",urpay!$M$9:$M$500,"&lt;&gt;",urpay!$B$9:$B$500,"&lt;&gt;Merchant",urpay!$I$9:$I$500,"Expiring ≤7 Days")</x:f>
        <x:v>0</x:v>
      </x:c>
      <x:c r="F14" s="2" t="n">
        <x:f>COUNTIFS(urpay!$C$9:$C$500,"&lt;&gt;",urpay!$M$9:$M$500,"&lt;&gt;",urpay!$B$9:$B$500,"&lt;&gt;Merchant",urpay!$I$9:$I$500,"Expiring 8–30 Days")</x:f>
        <x:v>0</x:v>
      </x:c>
      <x:c r="G14" s="2" t="n">
        <x:f>COUNTIFS(urpay!$C$9:$C$500,"&lt;&gt;",urpay!$M$9:$M$500,"&lt;&gt;",urpay!$B$9:$B$500,"&lt;&gt;Merchant",urpay!$I$9:$I$500,"Expired")</x:f>
        <x:v>0</x:v>
      </x:c>
      <x:c r="H14" s="20" t="n">
        <x:f>COUNTIFS(urpay!$C$9:$C$500,"&lt;&gt;",urpay!$M$9:$M$500,"&lt;&gt;",urpay!$B$9:$B$500,"&lt;&gt;Merchant",urpay!$I$9:$I$500,"&lt;&gt;Expired",urpay!$B$9:$B$500,"Remittance")</x:f>
        <x:v>1</x:v>
      </x:c>
      <x:c r="I14" s="2" t="n">
        <x:f>COUNTIFS(urpay!$C$9:$C$500,"&lt;&gt;",urpay!$M$9:$M$500,"&lt;&gt;",urpay!$B$9:$B$500,"&lt;&gt;Merchant",urpay!$I$9:$I$500,"&lt;&gt;Expired",urpay!$B$9:$B$500,"Musaned")</x:f>
        <x:v>1</x:v>
      </x:c>
      <x:c r="J14" s="2" t="n">
        <x:f>COUNTIFS(urpay!$C$9:$C$500,"&lt;&gt;",urpay!$M$9:$M$500,"&lt;&gt;",urpay!$B$9:$B$500,"&lt;&gt;Merchant",urpay!$I$9:$I$500,"&lt;&gt;Expired",urpay!$B$9:$B$500,"SADAD")</x:f>
        <x:v>0</x:v>
      </x:c>
      <x:c r="K14" s="2" t="n">
        <x:f>COUNTIFS(urpay!$C$9:$C$500,"&lt;&gt;",urpay!$M$9:$M$500,"&lt;&gt;",urpay!$B$9:$B$500,"&lt;&gt;Merchant",urpay!$I$9:$I$500,"&lt;&gt;Expired",urpay!$B$9:$B$500,"Card")</x:f>
        <x:v>1</x:v>
      </x:c>
      <x:c r="L14" s="2" t="n">
        <x:f>COUNTIFS(urpay!$C$9:$C$500,"&lt;&gt;",urpay!$M$9:$M$500,"&lt;&gt;",urpay!$B$9:$B$500,"&lt;&gt;Merchant",urpay!$I$9:$I$500,"&lt;&gt;Expired",urpay!$B$9:$B$500,"Engagement")</x:f>
        <x:v>0</x:v>
      </x:c>
      <x:c r="M14" s="2" t="n">
        <x:f>COUNTIFS(urpay!$C$9:$C$500,"&lt;&gt;",urpay!$M$9:$M$500,"&lt;&gt;",urpay!$B$9:$B$500,"Merchant",urpay!$I$9:$I$500,"&lt;&gt;Expired")</x:f>
        <x:v>5</x:v>
      </x:c>
    </x:row>
    <x:row r="15" ht="28" customHeight="1">
      <x:c r="A15" s="2" t="s">
        <x:v>25</x:v>
      </x:c>
      <x:c r="B15" s="2" t="n">
        <x:f>COUNTIFS('alinma pay'!$C$9:$C$500,"&lt;&gt;",'alinma pay'!$M$9:$M$500,"&lt;&gt;",'alinma pay'!$B$9:$B$500,"&lt;&gt;Merchant",'alinma pay'!$I$9:$I$500,"&lt;&gt;Expired")</x:f>
        <x:v>5</x:v>
      </x:c>
      <x:c r="C15" s="2" t="n">
        <x:f>COUNTIFS('alinma pay'!$C$9:$C$500,"&lt;&gt;",'alinma pay'!$M$9:$M$500,"&lt;&gt;",'alinma pay'!$B$9:$B$500,"&lt;&gt;Merchant",'alinma pay'!$I$9:$I$500,"Active")</x:f>
        <x:v>0</x:v>
      </x:c>
      <x:c r="D15" s="2" t="n">
        <x:f>COUNTIFS('alinma pay'!$C$9:$C$500,"&lt;&gt;",'alinma pay'!$M$9:$M$500,"&lt;&gt;",'alinma pay'!$B$9:$B$500,"&lt;&gt;Merchant",'alinma pay'!$I$9:$I$500,"End Date Not Stated")</x:f>
        <x:v>4</x:v>
      </x:c>
      <x:c r="E15" s="2" t="n">
        <x:f>COUNTIFS('alinma pay'!$C$9:$C$500,"&lt;&gt;",'alinma pay'!$M$9:$M$500,"&lt;&gt;",'alinma pay'!$B$9:$B$500,"&lt;&gt;Merchant",'alinma pay'!$I$9:$I$500,"Expiring ≤7 Days")</x:f>
        <x:v>1</x:v>
      </x:c>
      <x:c r="F15" s="2" t="n">
        <x:f>COUNTIFS('alinma pay'!$C$9:$C$500,"&lt;&gt;",'alinma pay'!$M$9:$M$500,"&lt;&gt;",'alinma pay'!$B$9:$B$500,"&lt;&gt;Merchant",'alinma pay'!$I$9:$I$500,"Expiring 8–30 Days")</x:f>
        <x:v>0</x:v>
      </x:c>
      <x:c r="G15" s="2" t="n">
        <x:f>COUNTIFS('alinma pay'!$C$9:$C$500,"&lt;&gt;",'alinma pay'!$M$9:$M$500,"&lt;&gt;",'alinma pay'!$B$9:$B$500,"&lt;&gt;Merchant",'alinma pay'!$I$9:$I$500,"Expired")</x:f>
        <x:v>0</x:v>
      </x:c>
      <x:c r="H15" s="20" t="n">
        <x:f>COUNTIFS('alinma pay'!$C$9:$C$500,"&lt;&gt;",'alinma pay'!$M$9:$M$500,"&lt;&gt;",'alinma pay'!$B$9:$B$500,"&lt;&gt;Merchant",'alinma pay'!$I$9:$I$500,"&lt;&gt;Expired",'alinma pay'!$B$9:$B$500,"Remittance")</x:f>
        <x:v>2</x:v>
      </x:c>
      <x:c r="I15" s="2" t="n">
        <x:f>COUNTIFS('alinma pay'!$C$9:$C$500,"&lt;&gt;",'alinma pay'!$M$9:$M$500,"&lt;&gt;",'alinma pay'!$B$9:$B$500,"&lt;&gt;Merchant",'alinma pay'!$I$9:$I$500,"&lt;&gt;Expired",'alinma pay'!$B$9:$B$500,"Musaned")</x:f>
        <x:v>1</x:v>
      </x:c>
      <x:c r="J15" s="2" t="n">
        <x:f>COUNTIFS('alinma pay'!$C$9:$C$500,"&lt;&gt;",'alinma pay'!$M$9:$M$500,"&lt;&gt;",'alinma pay'!$B$9:$B$500,"&lt;&gt;Merchant",'alinma pay'!$I$9:$I$500,"&lt;&gt;Expired",'alinma pay'!$B$9:$B$500,"SADAD")</x:f>
        <x:v>0</x:v>
      </x:c>
      <x:c r="K15" s="2" t="n">
        <x:f>COUNTIFS('alinma pay'!$C$9:$C$500,"&lt;&gt;",'alinma pay'!$M$9:$M$500,"&lt;&gt;",'alinma pay'!$B$9:$B$500,"&lt;&gt;Merchant",'alinma pay'!$I$9:$I$500,"&lt;&gt;Expired",'alinma pay'!$B$9:$B$500,"Card")</x:f>
        <x:v>2</x:v>
      </x:c>
      <x:c r="L15" s="2" t="n">
        <x:f>COUNTIFS('alinma pay'!$C$9:$C$500,"&lt;&gt;",'alinma pay'!$M$9:$M$500,"&lt;&gt;",'alinma pay'!$B$9:$B$500,"&lt;&gt;Merchant",'alinma pay'!$I$9:$I$500,"&lt;&gt;Expired",'alinma pay'!$B$9:$B$500,"Engagement")</x:f>
        <x:v>0</x:v>
      </x:c>
      <x:c r="M15" s="2" t="n">
        <x:f>COUNTIFS('alinma pay'!$C$9:$C$500,"&lt;&gt;",'alinma pay'!$M$9:$M$500,"&lt;&gt;",'alinma pay'!$B$9:$B$500,"Merchant",'alinma pay'!$I$9:$I$500,"&lt;&gt;Expired")</x:f>
        <x:v>0</x:v>
      </x:c>
    </x:row>
    <x:row r="18" ht="16.5">
      <x:c r="A18" s="45" t="s">
        <x:v>26</x:v>
      </x:c>
      <x:c r="B18" s="45"/>
      <x:c r="C18" s="45"/>
      <x:c r="D18" s="45"/>
      <x:c r="E18" s="45"/>
      <x:c r="F18" s="45"/>
      <x:c r="G18" s="45"/>
      <x:c r="H18" s="45"/>
      <x:c r="I18" s="45"/>
      <x:c r="J18" s="45"/>
      <x:c r="K18" s="45"/>
      <x:c r="L18" s="45"/>
      <x:c r="M18" s="45"/>
      <x:c r="N18" s="45"/>
      <x:c r="X18" s="30" t="s">
        <x:v>27</x:v>
      </x:c>
      <x:c r="Y18" s="30" t="s">
        <x:v>28</x:v>
      </x:c>
    </x:row>
    <x:row r="19">
      <x:c r="X19" s="30" t="s">
        <x:v>15</x:v>
      </x:c>
      <x:c r="Y19" s="30" t="n">
        <x:f>B27</x:f>
        <x:v>8</x:v>
      </x:c>
    </x:row>
    <x:row r="20" ht="26.649999618530273" customHeight="1">
      <x:c r="A20" s="22" t="s">
        <x:v>9</x:v>
      </x:c>
      <x:c r="B20" s="19" t="s">
        <x:v>15</x:v>
      </x:c>
      <x:c r="C20" s="22" t="s">
        <x:v>16</x:v>
      </x:c>
      <x:c r="D20" s="22" t="s">
        <x:v>17</x:v>
      </x:c>
      <x:c r="E20" s="22" t="s">
        <x:v>18</x:v>
      </x:c>
      <x:c r="F20" s="22" t="s">
        <x:v>19</x:v>
      </x:c>
      <x:c r="G20" s="22" t="s">
        <x:v>29</x:v>
      </x:c>
      <x:c r="X20" s="30" t="s">
        <x:v>16</x:v>
      </x:c>
      <x:c r="Y20" s="30" t="n">
        <x:f>C27</x:f>
        <x:v>1</x:v>
      </x:c>
    </x:row>
    <x:row r="21">
      <x:c r="A21" s="25" t="s">
        <x:v>20</x:v>
      </x:c>
      <x:c r="B21" s="24" t="n">
        <x:f>COUNTIFS('STC Bank'!$C$9:$C$500,"&lt;&gt;",'STC Bank'!$M$9:$M$500,"&lt;&gt;",'STC Bank'!$B$9:$B$500,"&lt;&gt;Merchant",'STC Bank'!$I$9:$I$500,"&lt;&gt;Expired",'STC Bank'!$B$9:$B$500,"Remittance")</x:f>
        <x:v>0</x:v>
      </x:c>
      <x:c r="C21" s="25" t="n">
        <x:f>COUNTIFS('STC Bank'!$C$9:$C$500,"&lt;&gt;",'STC Bank'!$M$9:$M$500,"&lt;&gt;",'STC Bank'!$B$9:$B$500,"&lt;&gt;Merchant",'STC Bank'!$I$9:$I$500,"&lt;&gt;Expired",'STC Bank'!$B$9:$B$500,"Musaned")</x:f>
        <x:v>0</x:v>
      </x:c>
      <x:c r="D21" s="25" t="n">
        <x:f>COUNTIFS('STC Bank'!$C$9:$C$500,"&lt;&gt;",'STC Bank'!$M$9:$M$500,"&lt;&gt;",'STC Bank'!$B$9:$B$500,"&lt;&gt;Merchant",'STC Bank'!$I$9:$I$500,"&lt;&gt;Expired",'STC Bank'!$B$9:$B$500,"SADAD")</x:f>
        <x:v>0</x:v>
      </x:c>
      <x:c r="E21" s="25" t="n">
        <x:f>COUNTIFS('STC Bank'!$C$9:$C$500,"&lt;&gt;",'STC Bank'!$M$9:$M$500,"&lt;&gt;",'STC Bank'!$B$9:$B$500,"&lt;&gt;Merchant",'STC Bank'!$I$9:$I$500,"&lt;&gt;Expired",'STC Bank'!$B$9:$B$500,"Card")</x:f>
        <x:v>5</x:v>
      </x:c>
      <x:c r="F21" s="25" t="n">
        <x:f>COUNTIFS('STC Bank'!$C$9:$C$500,"&lt;&gt;",'STC Bank'!$M$9:$M$500,"&lt;&gt;",'STC Bank'!$B$9:$B$500,"&lt;&gt;Merchant",'STC Bank'!$I$9:$I$500,"&lt;&gt;Expired",'STC Bank'!$B$9:$B$500,"Engagement")</x:f>
        <x:v>0</x:v>
      </x:c>
      <x:c r="G21" s="25" t="n">
        <x:f>COUNTIFS('STC Bank'!$C$9:$C$500,"&lt;&gt;",'STC Bank'!$M$9:$M$500,"&lt;&gt;",'STC Bank'!$B$9:$B$500,"&lt;&gt;Merchant",'STC Bank'!$I$9:$I$500,"&lt;&gt;Expired",'STC Bank'!$B$9:$B$500,"Other")</x:f>
        <x:v>0</x:v>
      </x:c>
      <x:c r="X21" s="30" t="s">
        <x:v>17</x:v>
      </x:c>
      <x:c r="Y21" s="30" t="n">
        <x:f>D27</x:f>
        <x:v>1</x:v>
      </x:c>
    </x:row>
    <x:row r="22">
      <x:c r="A22" s="25" t="s">
        <x:v>21</x:v>
      </x:c>
      <x:c r="B22" s="24" t="n">
        <x:f>COUNTIFS(barq!$C$9:$C$499,"&lt;&gt;",barq!$M$9:$M$499,"&lt;&gt;",barq!$B$9:$B$499,"&lt;&gt;Merchant",barq!$I$9:$I$499,"&lt;&gt;Expired",barq!$B$9:$B$499,"Remittance")</x:f>
        <x:v>2</x:v>
      </x:c>
      <x:c r="C22" s="25" t="n">
        <x:f>COUNTIFS(barq!$C$9:$C$499,"&lt;&gt;",barq!$M$9:$M$499,"&lt;&gt;",barq!$B$9:$B$499,"&lt;&gt;Merchant",barq!$I$9:$I$499,"&lt;&gt;Expired",barq!$B$9:$B$499,"Musaned")</x:f>
        <x:v>0</x:v>
      </x:c>
      <x:c r="D22" s="25" t="n">
        <x:f>COUNTIFS(barq!$C$9:$C$499,"&lt;&gt;",barq!$M$9:$M$499,"&lt;&gt;",barq!$B$9:$B$499,"&lt;&gt;Merchant",barq!$I$9:$I$499,"&lt;&gt;Expired",barq!$B$9:$B$499,"SADAD")</x:f>
        <x:v>0</x:v>
      </x:c>
      <x:c r="E22" s="25" t="n">
        <x:f>COUNTIFS(barq!$C$9:$C$499,"&lt;&gt;",barq!$M$9:$M$499,"&lt;&gt;",barq!$B$9:$B$499,"&lt;&gt;Merchant",barq!$I$9:$I$499,"&lt;&gt;Expired",barq!$B$9:$B$499,"Card")</x:f>
        <x:v>1</x:v>
      </x:c>
      <x:c r="F22" s="25" t="n">
        <x:f>COUNTIFS(barq!$C$9:$C$499,"&lt;&gt;",barq!$M$9:$M$499,"&lt;&gt;",barq!$B$9:$B$499,"&lt;&gt;Merchant",barq!$I$9:$I$499,"&lt;&gt;Expired",barq!$B$9:$B$499,"Engagement")</x:f>
        <x:v>2</x:v>
      </x:c>
      <x:c r="G22" s="25" t="n">
        <x:f>COUNTIFS(barq!$C$9:$C$499,"&lt;&gt;",barq!$M$9:$M$499,"&lt;&gt;",barq!$B$9:$B$499,"&lt;&gt;Merchant",barq!$I$9:$I$499,"&lt;&gt;Expired",barq!$B$9:$B$499,"Other")</x:f>
        <x:v>0</x:v>
      </x:c>
      <x:c r="X22" s="30" t="s">
        <x:v>18</x:v>
      </x:c>
      <x:c r="Y22" s="30" t="n">
        <x:f>E27</x:f>
        <x:v>10</x:v>
      </x:c>
    </x:row>
    <x:row r="23">
      <x:c r="A23" s="25" t="s">
        <x:v>22</x:v>
      </x:c>
      <x:c r="B23" s="24" t="n">
        <x:f>COUNTIFS('Mobily Pay'!$C$9:$C$500,"&lt;&gt;",'Mobily Pay'!$M$9:$M$500,"&lt;&gt;",'Mobily Pay'!$B$9:$B$500,"&lt;&gt;Merchant",'Mobily Pay'!$I$9:$I$500,"&lt;&gt;Expired",'Mobily Pay'!$B$9:$B$500,"Remittance")</x:f>
        <x:v>2</x:v>
      </x:c>
      <x:c r="C23" s="25" t="n">
        <x:f>COUNTIFS('Mobily Pay'!$C$9:$C$500,"&lt;&gt;",'Mobily Pay'!$M$9:$M$500,"&lt;&gt;",'Mobily Pay'!$B$9:$B$500,"&lt;&gt;Merchant",'Mobily Pay'!$I$9:$I$500,"&lt;&gt;Expired",'Mobily Pay'!$B$9:$B$500,"Musaned")</x:f>
        <x:v>0</x:v>
      </x:c>
      <x:c r="D23" s="25" t="n">
        <x:f>COUNTIFS('Mobily Pay'!$C$9:$C$500,"&lt;&gt;",'Mobily Pay'!$M$9:$M$500,"&lt;&gt;",'Mobily Pay'!$B$9:$B$500,"&lt;&gt;Merchant",'Mobily Pay'!$I$9:$I$500,"&lt;&gt;Expired",'Mobily Pay'!$B$9:$B$500,"SADAD")</x:f>
        <x:v>0</x:v>
      </x:c>
      <x:c r="E23" s="25" t="n">
        <x:f>COUNTIFS('Mobily Pay'!$C$9:$C$500,"&lt;&gt;",'Mobily Pay'!$M$9:$M$500,"&lt;&gt;",'Mobily Pay'!$B$9:$B$500,"&lt;&gt;Merchant",'Mobily Pay'!$I$9:$I$500,"&lt;&gt;Expired",'Mobily Pay'!$B$9:$B$500,"Card")</x:f>
        <x:v>1</x:v>
      </x:c>
      <x:c r="F23" s="25" t="n">
        <x:f>COUNTIFS('Mobily Pay'!$C$9:$C$500,"&lt;&gt;",'Mobily Pay'!$M$9:$M$500,"&lt;&gt;",'Mobily Pay'!$B$9:$B$500,"&lt;&gt;Merchant",'Mobily Pay'!$I$9:$I$500,"&lt;&gt;Expired",'Mobily Pay'!$B$9:$B$500,"Engagement")</x:f>
        <x:v>0</x:v>
      </x:c>
      <x:c r="G23" s="25" t="n">
        <x:f>COUNTIFS('Mobily Pay'!$C$9:$C$500,"&lt;&gt;",'Mobily Pay'!$M$9:$M$500,"&lt;&gt;",'Mobily Pay'!$B$9:$B$500,"&lt;&gt;Merchant",'Mobily Pay'!$I$9:$I$500,"&lt;&gt;Expired",'Mobily Pay'!$B$9:$B$500,"Other")</x:f>
        <x:v>0</x:v>
      </x:c>
      <x:c r="X23" s="30" t="s">
        <x:v>19</x:v>
      </x:c>
      <x:c r="Y23" s="30" t="n">
        <x:f>F27</x:f>
        <x:v>2</x:v>
      </x:c>
    </x:row>
    <x:row r="24">
      <x:c r="A24" s="25" t="s">
        <x:v>23</x:v>
      </x:c>
      <x:c r="B24" s="24" t="n">
        <x:f>COUNTIFS(tiqmo!$C$9:$C$500,"&lt;&gt;",tiqmo!$M$9:$M$500,"&lt;&gt;",tiqmo!$B$9:$B$500,"&lt;&gt;Merchant",tiqmo!$I$9:$I$500,"&lt;&gt;Expired",tiqmo!$B$9:$B$500,"Remittance")</x:f>
        <x:v>1</x:v>
      </x:c>
      <x:c r="C24" s="25" t="n">
        <x:f>COUNTIFS(tiqmo!$C$9:$C$500,"&lt;&gt;",tiqmo!$M$9:$M$500,"&lt;&gt;",tiqmo!$B$9:$B$500,"&lt;&gt;Merchant",tiqmo!$I$9:$I$500,"&lt;&gt;Expired",tiqmo!$B$9:$B$500,"Musaned")</x:f>
        <x:v>0</x:v>
      </x:c>
      <x:c r="D24" s="25" t="n">
        <x:f>COUNTIFS(tiqmo!$C$9:$C$500,"&lt;&gt;",tiqmo!$M$9:$M$500,"&lt;&gt;",tiqmo!$B$9:$B$500,"&lt;&gt;Merchant",tiqmo!$I$9:$I$500,"&lt;&gt;Expired",tiqmo!$B$9:$B$500,"SADAD")</x:f>
        <x:v>1</x:v>
      </x:c>
      <x:c r="E24" s="25" t="n">
        <x:f>COUNTIFS(tiqmo!$C$9:$C$500,"&lt;&gt;",tiqmo!$M$9:$M$500,"&lt;&gt;",tiqmo!$B$9:$B$500,"&lt;&gt;Merchant",tiqmo!$I$9:$I$500,"&lt;&gt;Expired",tiqmo!$B$9:$B$500,"Card")</x:f>
        <x:v>1</x:v>
      </x:c>
      <x:c r="F24" s="25" t="n">
        <x:f>COUNTIFS(tiqmo!$C$9:$C$500,"&lt;&gt;",tiqmo!$M$9:$M$500,"&lt;&gt;",tiqmo!$B$9:$B$500,"&lt;&gt;Merchant",tiqmo!$I$9:$I$500,"&lt;&gt;Expired",tiqmo!$B$9:$B$500,"Engagement")</x:f>
        <x:v>0</x:v>
      </x:c>
      <x:c r="G24" s="25" t="n">
        <x:f>COUNTIFS(tiqmo!$C$9:$C$500,"&lt;&gt;",tiqmo!$M$9:$M$500,"&lt;&gt;",tiqmo!$B$9:$B$500,"&lt;&gt;Merchant",tiqmo!$I$9:$I$500,"&lt;&gt;Expired",tiqmo!$B$9:$B$500,"Other")</x:f>
        <x:v>0</x:v>
      </x:c>
      <x:c r="X24" s="30" t="s">
        <x:v>29</x:v>
      </x:c>
      <x:c r="Y24" s="30" t="n">
        <x:f>G27</x:f>
        <x:v>1</x:v>
      </x:c>
    </x:row>
    <x:row r="25">
      <x:c r="A25" s="25" t="s">
        <x:v>24</x:v>
      </x:c>
      <x:c r="B25" s="24" t="n">
        <x:f>COUNTIFS(urpay!$C$9:$C$500,"&lt;&gt;",urpay!$M$9:$M$500,"&lt;&gt;",urpay!$B$9:$B$500,"&lt;&gt;Merchant",urpay!$I$9:$I$500,"&lt;&gt;Expired",urpay!$B$9:$B$500,"Remittance")</x:f>
        <x:v>1</x:v>
      </x:c>
      <x:c r="C25" s="25" t="n">
        <x:f>COUNTIFS(urpay!$C$9:$C$500,"&lt;&gt;",urpay!$M$9:$M$500,"&lt;&gt;",urpay!$B$9:$B$500,"&lt;&gt;Merchant",urpay!$I$9:$I$500,"&lt;&gt;Expired",urpay!$B$9:$B$500,"Musaned")</x:f>
        <x:v>1</x:v>
      </x:c>
      <x:c r="D25" s="25" t="n">
        <x:f>COUNTIFS(urpay!$C$9:$C$500,"&lt;&gt;",urpay!$M$9:$M$500,"&lt;&gt;",urpay!$B$9:$B$500,"&lt;&gt;Merchant",urpay!$I$9:$I$500,"&lt;&gt;Expired",urpay!$B$9:$B$500,"SADAD")</x:f>
        <x:v>0</x:v>
      </x:c>
      <x:c r="E25" s="25" t="n">
        <x:f>COUNTIFS(urpay!$C$9:$C$500,"&lt;&gt;",urpay!$M$9:$M$500,"&lt;&gt;",urpay!$B$9:$B$500,"&lt;&gt;Merchant",urpay!$I$9:$I$500,"&lt;&gt;Expired",urpay!$B$9:$B$500,"Card")</x:f>
        <x:v>1</x:v>
      </x:c>
      <x:c r="F25" s="25" t="n">
        <x:f>COUNTIFS(urpay!$C$9:$C$500,"&lt;&gt;",urpay!$M$9:$M$500,"&lt;&gt;",urpay!$B$9:$B$500,"&lt;&gt;Merchant",urpay!$I$9:$I$500,"&lt;&gt;Expired",urpay!$B$9:$B$500,"Engagement")</x:f>
        <x:v>0</x:v>
      </x:c>
      <x:c r="G25" s="25" t="n">
        <x:f>COUNTIFS(urpay!$C$9:$C$500,"&lt;&gt;",urpay!$M$9:$M$500,"&lt;&gt;",urpay!$B$9:$B$500,"&lt;&gt;Merchant",urpay!$I$9:$I$500,"&lt;&gt;Expired",urpay!$B$9:$B$500,"Other")</x:f>
        <x:v>0</x:v>
      </x:c>
      <x:c r="X25" s="30"/>
      <x:c r="Y25" s="30"/>
    </x:row>
    <x:row r="26">
      <x:c r="A26" s="25" t="s">
        <x:v>25</x:v>
      </x:c>
      <x:c r="B26" s="24" t="n">
        <x:f>COUNTIFS('alinma pay'!$C$9:$C$500,"&lt;&gt;",'alinma pay'!$M$9:$M$500,"&lt;&gt;",'alinma pay'!$B$9:$B$500,"&lt;&gt;Merchant",'alinma pay'!$I$9:$I$500,"&lt;&gt;Expired",'alinma pay'!$B$9:$B$500,"Remittance")</x:f>
        <x:v>2</x:v>
      </x:c>
      <x:c r="C26" s="25" t="n">
        <x:f>COUNTIFS('alinma pay'!$C$9:$C$500,"&lt;&gt;",'alinma pay'!$M$9:$M$500,"&lt;&gt;",'alinma pay'!$B$9:$B$500,"&lt;&gt;Merchant",'alinma pay'!$I$9:$I$500,"&lt;&gt;Expired",'alinma pay'!$B$9:$B$500,"Musaned")</x:f>
        <x:v>1</x:v>
      </x:c>
      <x:c r="D26" s="25" t="n">
        <x:f>COUNTIFS('alinma pay'!$C$9:$C$500,"&lt;&gt;",'alinma pay'!$M$9:$M$500,"&lt;&gt;",'alinma pay'!$B$9:$B$500,"&lt;&gt;Merchant",'alinma pay'!$I$9:$I$500,"&lt;&gt;Expired",'alinma pay'!$B$9:$B$500,"SADAD")</x:f>
        <x:v>0</x:v>
      </x:c>
      <x:c r="E26" s="25" t="n">
        <x:f>COUNTIFS('alinma pay'!$C$9:$C$500,"&lt;&gt;",'alinma pay'!$M$9:$M$500,"&lt;&gt;",'alinma pay'!$B$9:$B$500,"&lt;&gt;Merchant",'alinma pay'!$I$9:$I$500,"&lt;&gt;Expired",'alinma pay'!$B$9:$B$500,"Card")</x:f>
        <x:v>2</x:v>
      </x:c>
      <x:c r="F26" s="25" t="n">
        <x:f>COUNTIFS('alinma pay'!$C$9:$C$500,"&lt;&gt;",'alinma pay'!$M$9:$M$500,"&lt;&gt;",'alinma pay'!$B$9:$B$500,"&lt;&gt;Merchant",'alinma pay'!$I$9:$I$500,"&lt;&gt;Expired",'alinma pay'!$B$9:$B$500,"Engagement")</x:f>
        <x:v>0</x:v>
      </x:c>
      <x:c r="G26" s="25" t="n">
        <x:f>COUNTIFS('alinma pay'!$C$9:$C$500,"&lt;&gt;",'alinma pay'!$M$9:$M$500,"&lt;&gt;",'alinma pay'!$B$9:$B$500,"&lt;&gt;Merchant",'alinma pay'!$I$9:$I$500,"&lt;&gt;Expired",'alinma pay'!$B$9:$B$500,"Other")</x:f>
        <x:v>0</x:v>
      </x:c>
      <x:c r="X26" s="30"/>
      <x:c r="Y26" s="30"/>
    </x:row>
    <x:row r="27">
      <x:c r="A27" s="23" t="s">
        <x:v>30</x:v>
      </x:c>
      <x:c r="B27" s="24" t="n">
        <x:f t="shared" ref="B27:G27" si="0">SUM(B21:B26)</x:f>
        <x:v>8</x:v>
      </x:c>
      <x:c r="C27" s="23">
        <x:f t="shared" si="0"/>
        <x:v>1</x:v>
      </x:c>
      <x:c r="D27" s="23">
        <x:f t="shared" si="0"/>
        <x:v>1</x:v>
      </x:c>
      <x:c r="E27" s="23">
        <x:f t="shared" si="0"/>
        <x:v>10</x:v>
      </x:c>
      <x:c r="F27" s="23">
        <x:f t="shared" si="0"/>
        <x:v>2</x:v>
      </x:c>
      <x:c r="G27" s="23">
        <x:f t="shared" si="0"/>
        <x:v>1</x:v>
      </x:c>
      <x:c r="X27" s="30"/>
      <x:c r="Y27" s="30"/>
    </x:row>
    <x:row r="28">
      <x:c r="X28" s="30"/>
      <x:c r="Y28" s="30"/>
    </x:row>
    <x:row r="29">
      <x:c r="X29" s="30"/>
      <x:c r="Y29" s="30"/>
    </x:row>
    <x:row r="30" ht="16.5">
      <x:c r="A30" s="46" t="s">
        <x:v>31</x:v>
      </x:c>
      <x:c r="B30" s="46"/>
      <x:c r="C30" s="46"/>
      <x:c r="D30" s="46"/>
      <x:c r="E30" s="46"/>
      <x:c r="F30" s="46"/>
      <x:c r="G30" s="46"/>
      <x:c r="H30" s="46"/>
      <x:c r="I30" s="46"/>
      <x:c r="J30" s="46"/>
      <x:c r="K30" s="46"/>
      <x:c r="L30" s="46"/>
      <x:c r="M30" s="46"/>
      <x:c r="N30" s="46"/>
      <x:c r="X30" s="30" t="s">
        <x:v>9</x:v>
      </x:c>
      <x:c r="Y30" s="30" t="s">
        <x:v>5</x:v>
      </x:c>
    </x:row>
    <x:row r="31" ht="20" customHeight="1">
      <x:c r="X31" s="30" t="str">
        <x:f t="shared" ref="X31:X36" si="1">A10</x:f>
        <x:v>STC Bank</x:v>
      </x:c>
      <x:c r="Y31" s="30" t="n">
        <x:f>H10</x:f>
        <x:v>0</x:v>
      </x:c>
    </x:row>
    <x:row r="32" ht="22.649999618530273" customHeight="1">
      <x:c r="A32" s="31" t="s">
        <x:v>9</x:v>
      </x:c>
      <x:c r="B32" s="31" t="s">
        <x:v>32</x:v>
      </x:c>
      <x:c r="C32" s="31" t="s">
        <x:v>33</x:v>
      </x:c>
      <x:c r="D32" s="31" t="s">
        <x:v>10</x:v>
      </x:c>
      <x:c r="E32" s="31" t="s">
        <x:v>14</x:v>
      </x:c>
      <x:c r="X32" s="30" t="str">
        <x:f t="shared" si="1"/>
        <x:v>barq</x:v>
      </x:c>
      <x:c r="Y32" s="30" t="n">
        <x:f>H11</x:f>
        <x:v>2</x:v>
      </x:c>
    </x:row>
    <x:row r="33" ht="17.399999618530273" customHeight="1">
      <x:c r="A33" s="32" t="s">
        <x:v>20</x:v>
      </x:c>
      <x:c r="B33" s="32" t="n">
        <x:f>COUNTIFS('STC Bank'!$C$9:$C$500,"&lt;&gt;",'STC Bank'!$M$9:$M$500,"&lt;&gt;",'STC Bank'!$B$9:$B$500,"Merchant")</x:f>
        <x:v>10</x:v>
      </x:c>
      <x:c r="C33" s="32" t="n">
        <x:f>COUNTIFS('STC Bank'!$C$9:$C$500,"&lt;&gt;",'STC Bank'!$M$9:$M$500,"&lt;&gt;",'STC Bank'!$B$9:$B$500,"Merchant",'STC Bank'!$I$9:$I$500,"&lt;&gt;Expired")</x:f>
        <x:v>8</x:v>
      </x:c>
      <x:c r="D33" s="32" t="n">
        <x:f>COUNTIFS('STC Bank'!$C$9:$C$500,"&lt;&gt;",'STC Bank'!$M$9:$M$500,"&lt;&gt;",'STC Bank'!$B$9:$B$500,"Merchant",'STC Bank'!$I$9:$I$500,"Active")</x:f>
        <x:v>7</x:v>
      </x:c>
      <x:c r="E33" s="32" t="n">
        <x:f>COUNTIFS('STC Bank'!$C$9:$C$500,"&lt;&gt;",'STC Bank'!$M$9:$M$500,"&lt;&gt;",'STC Bank'!$B$9:$B$500,"Merchant",'STC Bank'!$I$9:$I$500,"Expired")</x:f>
        <x:v>2</x:v>
      </x:c>
      <x:c r="X33" s="30" t="str">
        <x:f t="shared" si="1"/>
        <x:v>Mobily Pay</x:v>
      </x:c>
      <x:c r="Y33" s="30" t="n">
        <x:f>H12</x:f>
        <x:v>2</x:v>
      </x:c>
    </x:row>
    <x:row r="34" ht="17.399999618530273" customHeight="1">
      <x:c r="A34" s="32" t="s">
        <x:v>21</x:v>
      </x:c>
      <x:c r="B34" s="32" t="n">
        <x:f>COUNTIFS(barq!$C$9:$C$499,"&lt;&gt;",barq!$M$9:$M$499,"&lt;&gt;",barq!$B$9:$B$499,"Merchant")</x:f>
        <x:v>1</x:v>
      </x:c>
      <x:c r="C34" s="32" t="n">
        <x:f>COUNTIFS(barq!$C$9:$C$499,"&lt;&gt;",barq!$M$9:$M$499,"&lt;&gt;",barq!$B$9:$B$499,"Merchant",barq!$I$9:$I$499,"&lt;&gt;Expired")</x:f>
        <x:v>1</x:v>
      </x:c>
      <x:c r="D34" s="32" t="n">
        <x:f>COUNTIFS(barq!$C$9:$C$499,"&lt;&gt;",barq!$M$9:$M$499,"&lt;&gt;",barq!$B$9:$B$499,"Merchant",barq!$I$9:$I$499,"Active")</x:f>
        <x:v>0</x:v>
      </x:c>
      <x:c r="E34" s="32" t="n">
        <x:f>COUNTIFS(barq!$C$9:$C$499,"&lt;&gt;",barq!$M$9:$M$499,"&lt;&gt;",barq!$B$9:$B$499,"Merchant",barq!$I$9:$I$499,"Expired")</x:f>
        <x:v>0</x:v>
      </x:c>
      <x:c r="X34" s="30" t="str">
        <x:f t="shared" si="1"/>
        <x:v>tiqmo</x:v>
      </x:c>
      <x:c r="Y34" s="30" t="n">
        <x:f>H13</x:f>
        <x:v>1</x:v>
      </x:c>
    </x:row>
    <x:row r="35" ht="17.399999618530273" customHeight="1">
      <x:c r="A35" s="32" t="s">
        <x:v>22</x:v>
      </x:c>
      <x:c r="B35" s="32" t="n">
        <x:f>COUNTIFS('Mobily Pay'!$C$9:$C$500,"&lt;&gt;",'Mobily Pay'!$M$9:$M$500,"&lt;&gt;",'Mobily Pay'!$B$9:$B$500,"Merchant")</x:f>
        <x:v>1</x:v>
      </x:c>
      <x:c r="C35" s="32" t="n">
        <x:f>COUNTIFS('Mobily Pay'!$C$9:$C$500,"&lt;&gt;",'Mobily Pay'!$M$9:$M$500,"&lt;&gt;",'Mobily Pay'!$B$9:$B$500,"Merchant",'Mobily Pay'!$I$9:$I$500,"&lt;&gt;Expired")</x:f>
        <x:v>1</x:v>
      </x:c>
      <x:c r="D35" s="32" t="n">
        <x:f>COUNTIFS('Mobily Pay'!$C$9:$C$500,"&lt;&gt;",'Mobily Pay'!$M$9:$M$500,"&lt;&gt;",'Mobily Pay'!$B$9:$B$500,"Merchant",'Mobily Pay'!$I$9:$I$500,"Active")</x:f>
        <x:v>1</x:v>
      </x:c>
      <x:c r="E35" s="32" t="n">
        <x:f>COUNTIFS('Mobily Pay'!$C$9:$C$500,"&lt;&gt;",'Mobily Pay'!$M$9:$M$500,"&lt;&gt;",'Mobily Pay'!$B$9:$B$500,"Merchant",'Mobily Pay'!$I$9:$I$500,"Expired")</x:f>
        <x:v>0</x:v>
      </x:c>
      <x:c r="X35" s="30" t="str">
        <x:f t="shared" si="1"/>
        <x:v>urpay</x:v>
      </x:c>
      <x:c r="Y35" s="30" t="n">
        <x:f>H14</x:f>
        <x:v>1</x:v>
      </x:c>
    </x:row>
    <x:row r="36" ht="17.399999618530273" customHeight="1">
      <x:c r="A36" s="32" t="s">
        <x:v>23</x:v>
      </x:c>
      <x:c r="B36" s="32" t="n">
        <x:f>COUNTIFS(tiqmo!$C$9:$C$500,"&lt;&gt;",tiqmo!$M$9:$M$500,"&lt;&gt;",tiqmo!$B$9:$B$500,"Merchant")</x:f>
        <x:v>1</x:v>
      </x:c>
      <x:c r="C36" s="32" t="n">
        <x:f>COUNTIFS(tiqmo!$C$9:$C$500,"&lt;&gt;",tiqmo!$M$9:$M$500,"&lt;&gt;",tiqmo!$B$9:$B$500,"Merchant",tiqmo!$I$9:$I$500,"&lt;&gt;Expired")</x:f>
        <x:v>0</x:v>
      </x:c>
      <x:c r="D36" s="32" t="n">
        <x:f>COUNTIFS(tiqmo!$C$9:$C$500,"&lt;&gt;",tiqmo!$M$9:$M$500,"&lt;&gt;",tiqmo!$B$9:$B$500,"Merchant",tiqmo!$I$9:$I$500,"Active")</x:f>
        <x:v>0</x:v>
      </x:c>
      <x:c r="E36" s="32" t="n">
        <x:f>COUNTIFS(tiqmo!$C$9:$C$500,"&lt;&gt;",tiqmo!$M$9:$M$500,"&lt;&gt;",tiqmo!$B$9:$B$500,"Merchant",tiqmo!$I$9:$I$500,"Expired")</x:f>
        <x:v>1</x:v>
      </x:c>
      <x:c r="X36" s="30" t="str">
        <x:f t="shared" si="1"/>
        <x:v>alinma pay</x:v>
      </x:c>
      <x:c r="Y36" s="30" t="n">
        <x:f>H15</x:f>
        <x:v>2</x:v>
      </x:c>
    </x:row>
    <x:row r="37" ht="17.399999618530273" customHeight="1">
      <x:c r="A37" s="32" t="s">
        <x:v>24</x:v>
      </x:c>
      <x:c r="B37" s="32" t="n">
        <x:f>COUNTIFS(urpay!$C$9:$C$500,"&lt;&gt;",urpay!$M$9:$M$500,"&lt;&gt;",urpay!$B$9:$B$500,"Merchant")</x:f>
        <x:v>6</x:v>
      </x:c>
      <x:c r="C37" s="32" t="n">
        <x:f>COUNTIFS(urpay!$C$9:$C$500,"&lt;&gt;",urpay!$M$9:$M$500,"&lt;&gt;",urpay!$B$9:$B$500,"Merchant",urpay!$I$9:$I$500,"&lt;&gt;Expired")</x:f>
        <x:v>5</x:v>
      </x:c>
      <x:c r="D37" s="32" t="n">
        <x:f>COUNTIFS(urpay!$C$9:$C$500,"&lt;&gt;",urpay!$M$9:$M$500,"&lt;&gt;",urpay!$B$9:$B$500,"Merchant",urpay!$I$9:$I$500,"Active")</x:f>
        <x:v>5</x:v>
      </x:c>
      <x:c r="E37" s="32" t="n">
        <x:f>COUNTIFS(urpay!$C$9:$C$500,"&lt;&gt;",urpay!$M$9:$M$500,"&lt;&gt;",urpay!$B$9:$B$500,"Merchant",urpay!$I$9:$I$500,"Expired")</x:f>
        <x:v>1</x:v>
      </x:c>
    </x:row>
    <x:row r="38" ht="17.399999618530273" customHeight="1">
      <x:c r="A38" s="32" t="s">
        <x:v>25</x:v>
      </x:c>
      <x:c r="B38" s="32" t="n">
        <x:f>COUNTIFS('alinma pay'!$C$9:$C$500,"&lt;&gt;",'alinma pay'!$M$9:$M$500,"&lt;&gt;",'alinma pay'!$B$9:$B$500,"Merchant")</x:f>
        <x:v>0</x:v>
      </x:c>
      <x:c r="C38" s="32" t="n">
        <x:f>COUNTIFS('alinma pay'!$C$9:$C$500,"&lt;&gt;",'alinma pay'!$M$9:$M$500,"&lt;&gt;",'alinma pay'!$B$9:$B$500,"Merchant",'alinma pay'!$I$9:$I$500,"&lt;&gt;Expired")</x:f>
        <x:v>0</x:v>
      </x:c>
      <x:c r="D38" s="32" t="n">
        <x:f>COUNTIFS('alinma pay'!$C$9:$C$500,"&lt;&gt;",'alinma pay'!$M$9:$M$500,"&lt;&gt;",'alinma pay'!$B$9:$B$500,"Merchant",'alinma pay'!$I$9:$I$500,"Active")</x:f>
        <x:v>0</x:v>
      </x:c>
      <x:c r="E38" s="32" t="n">
        <x:f>COUNTIFS('alinma pay'!$C$9:$C$500,"&lt;&gt;",'alinma pay'!$M$9:$M$500,"&lt;&gt;",'alinma pay'!$B$9:$B$500,"Merchant",'alinma pay'!$I$9:$I$500,"Expired")</x:f>
        <x:v>0</x:v>
      </x:c>
    </x:row>
    <x:row r="39">
      <x:c r="A39" s="33" t="s">
        <x:v>30</x:v>
      </x:c>
      <x:c r="B39" s="33" t="n">
        <x:f>SUM(B33:B38)</x:f>
        <x:v>19</x:v>
      </x:c>
      <x:c r="C39" s="33" t="n">
        <x:f>SUM(C33:C38)</x:f>
        <x:v>15</x:v>
      </x:c>
      <x:c r="D39" s="33" t="n">
        <x:f>SUM(D33:D38)</x:f>
        <x:v>13</x:v>
      </x:c>
      <x:c r="E39" s="33" t="n">
        <x:f>SUM(E33:E38)</x:f>
        <x:v>4</x:v>
      </x:c>
    </x:row>
    <x:row r="42" ht="16.5">
      <x:c r="A42" s="45" t="s">
        <x:v>34</x:v>
      </x:c>
      <x:c r="B42" s="45"/>
      <x:c r="C42" s="45"/>
      <x:c r="D42" s="45"/>
      <x:c r="E42" s="45"/>
      <x:c r="F42" s="45"/>
      <x:c r="G42" s="45"/>
      <x:c r="H42" s="45"/>
      <x:c r="I42" s="45"/>
      <x:c r="J42" s="45"/>
      <x:c r="K42" s="45"/>
      <x:c r="L42" s="45"/>
      <x:c r="M42" s="45"/>
      <x:c r="N42" s="45"/>
    </x:row>
    <x:row r="43" ht="20.649999618530273" customHeight="1">
      <x:c r="A43" s="48" t="str">
        <x:f>"Largest current campaign portfolio (merchant offers excluded): "&amp;INDEX($A$10:$A$15,MATCH(MAX($B$10:$B$15),$B$10:$B$15,0))&amp;" ("&amp;MAX($B$10:$B$15)&amp;" campaigns)."</x:f>
        <x:v>Largest current campaign portfolio (merchant offers excluded): STC Bank (5 campaigns).</x:v>
      </x:c>
      <x:c r="B43" s="48"/>
      <x:c r="C43" s="48"/>
      <x:c r="D43" s="48"/>
      <x:c r="E43" s="48"/>
      <x:c r="F43" s="48"/>
      <x:c r="G43" s="48"/>
      <x:c r="H43" s="48"/>
      <x:c r="I43" s="48"/>
      <x:c r="J43" s="48"/>
      <x:c r="K43" s="48"/>
      <x:c r="L43" s="48"/>
      <x:c r="M43" s="48"/>
      <x:c r="N43" s="48"/>
    </x:row>
    <x:row r="44" ht="20.649999618530273" customHeight="1">
      <x:c r="A44" s="49" t="str">
        <x:f>"Remittance campaigns currently documented: "&amp;SUM($H$10:$H$15)&amp;"; highest competitor: "&amp;INDEX($A$10:$A$15,MATCH(MAX($H$10:$H$15),$H$10:$H$15,0))&amp;" ("&amp;MAX($H$10:$H$15)&amp;")."</x:f>
        <x:v>Remittance campaigns currently documented: 8; highest competitor: barq (2).</x:v>
      </x:c>
      <x:c r="B44" s="49"/>
      <x:c r="C44" s="49"/>
      <x:c r="D44" s="49"/>
      <x:c r="E44" s="49"/>
      <x:c r="F44" s="49"/>
      <x:c r="G44" s="49"/>
      <x:c r="H44" s="49"/>
      <x:c r="I44" s="49"/>
      <x:c r="J44" s="49"/>
      <x:c r="K44" s="49"/>
      <x:c r="L44" s="49"/>
      <x:c r="M44" s="49"/>
      <x:c r="N44" s="49"/>
    </x:row>
    <x:row r="45" ht="20.649999618530273" customHeight="1">
      <x:c r="A45" s="49" t="str">
        <x:f>"Remittance share of current campaigns: "&amp;TEXT(SUM($H$10:$H$15)/SUM($B$10:$B$15),"0%")&amp;"."</x:f>
        <x:v>Remittance share of current campaigns: 33%.</x:v>
      </x:c>
      <x:c r="B45" s="49"/>
      <x:c r="C45" s="49"/>
      <x:c r="D45" s="49"/>
      <x:c r="E45" s="49"/>
      <x:c r="F45" s="49"/>
      <x:c r="G45" s="49"/>
      <x:c r="H45" s="49"/>
      <x:c r="I45" s="49"/>
      <x:c r="J45" s="49"/>
      <x:c r="K45" s="49"/>
      <x:c r="L45" s="49"/>
      <x:c r="M45" s="49"/>
      <x:c r="N45" s="49"/>
    </x:row>
    <x:row r="46" ht="20.649999618530273" customHeight="1">
      <x:c r="A46" s="50" t="str">
        <x:f>"Merchant offers retained separately for reference: "&amp;SUM($M$10:$M$15)&amp;"."</x:f>
        <x:v>Merchant offers retained separately for reference: 15.</x:v>
      </x:c>
      <x:c r="B46" s="50"/>
      <x:c r="C46" s="50"/>
      <x:c r="D46" s="50"/>
      <x:c r="E46" s="50"/>
      <x:c r="F46" s="50"/>
      <x:c r="G46" s="50"/>
      <x:c r="H46" s="50"/>
      <x:c r="I46" s="50"/>
      <x:c r="J46" s="50"/>
      <x:c r="K46" s="50"/>
      <x:c r="L46" s="50"/>
      <x:c r="M46" s="50"/>
      <x:c r="N46" s="50"/>
    </x:row>
    <x:row r="47" ht="20.649999618530273" customHeight="1">
      <x:c r="A47" s="48" t="str">
        <x:f>"Campaigns expiring within 30 days: "&amp;SUM($E$10:$F$15)&amp;"."</x:f>
        <x:v>Campaigns expiring within 30 days: 5.</x:v>
      </x:c>
      <x:c r="B47" s="48"/>
      <x:c r="C47" s="48"/>
      <x:c r="D47" s="48"/>
      <x:c r="E47" s="48"/>
      <x:c r="F47" s="48"/>
      <x:c r="G47" s="48"/>
      <x:c r="H47" s="48"/>
      <x:c r="I47" s="48"/>
      <x:c r="J47" s="48"/>
      <x:c r="K47" s="48"/>
      <x:c r="L47" s="48"/>
      <x:c r="M47" s="48"/>
      <x:c r="N47" s="48"/>
    </x:row>
    <x:row r="48" ht="20.649999618530273" customHeight="1">
      <x:c r="A48" s="50"/>
      <x:c r="B48" s="50"/>
      <x:c r="C48" s="50"/>
      <x:c r="D48" s="50"/>
      <x:c r="E48" s="50"/>
      <x:c r="F48" s="50"/>
      <x:c r="G48" s="50"/>
      <x:c r="H48" s="50"/>
      <x:c r="I48" s="50"/>
      <x:c r="J48" s="50"/>
      <x:c r="K48" s="50"/>
      <x:c r="L48" s="50"/>
      <x:c r="M48" s="50"/>
      <x:c r="N48" s="50"/>
    </x:row>
    <x:row r="51" ht="16.5">
      <x:c r="A51" s="47" t="s">
        <x:v>35</x:v>
      </x:c>
      <x:c r="B51" s="47"/>
      <x:c r="C51" s="47"/>
      <x:c r="D51" s="47"/>
      <x:c r="E51" s="47"/>
      <x:c r="F51" s="47"/>
      <x:c r="G51" s="47"/>
      <x:c r="H51" s="47"/>
      <x:c r="I51" s="47"/>
      <x:c r="J51" s="47"/>
      <x:c r="K51" s="47"/>
      <x:c r="L51" s="47"/>
      <x:c r="M51" s="47"/>
      <x:c r="N51" s="47"/>
    </x:row>
    <x:row r="52" ht="20.649999618530273" customHeight="1"/>
    <x:row r="53" ht="28" customHeight="1">
      <x:c r="A53" s="36" t="s">
        <x:v>9</x:v>
      </x:c>
      <x:c r="B53" s="36" t="s">
        <x:v>36</x:v>
      </x:c>
      <x:c r="C53" s="36" t="s">
        <x:v>37</x:v>
      </x:c>
      <x:c r="D53" s="36" t="s">
        <x:v>38</x:v>
      </x:c>
      <x:c r="E53" s="36" t="s">
        <x:v>39</x:v>
      </x:c>
      <x:c r="F53" s="36" t="s">
        <x:v>40</x:v>
      </x:c>
    </x:row>
    <x:row r="54" ht="18.649999618530273" customHeight="1">
      <x:c r="A54" s="32" t="s">
        <x:v>20</x:v>
      </x:c>
      <x:c r="B54" s="32" t="n">
        <x:f>COUNTIFS('STC Bank'!$C$9:$C$500,"&lt;&gt;",'STC Bank'!$B$9:$B$500,"&lt;&gt;Merchant",'STC Bank'!$O$9:$O$500,"&lt;&gt;")</x:f>
        <x:v>4</x:v>
      </x:c>
      <x:c r="C54" s="32" t="n">
        <x:f>COUNTIFS('STC Bank'!$C$9:$C$500,"&lt;&gt;",'STC Bank'!$B$9:$B$500,"&lt;&gt;Merchant",'STC Bank'!$P$9:$P$500,"&lt;&gt;")</x:f>
        <x:v>4</x:v>
      </x:c>
      <x:c r="D54" s="32" t="n">
        <x:f>COUNTIFS('STC Bank'!$C$9:$C$500,"&lt;&gt;",'STC Bank'!$B$9:$B$500,"&lt;&gt;Merchant",'STC Bank'!$Q$9:$Q$500,"&lt;&gt;")</x:f>
        <x:v>4</x:v>
      </x:c>
      <x:c r="E54" s="32" t="n">
        <x:f>COUNTIFS('STC Bank'!$C$9:$C$500,"&lt;&gt;",'STC Bank'!$B$9:$B$500,"&lt;&gt;Merchant",'STC Bank'!$R$9:$R$500,"&lt;&gt;")</x:f>
        <x:v>2</x:v>
      </x:c>
      <x:c r="F54" s="32" t="n">
        <x:f>SUMPRODUCT(--('STC Bank'!$C$9:$C$500&lt;&gt;""),--('STC Bank'!$B$9:$B$500&lt;&gt;"Merchant"),--((--('STC Bank'!$O$9:$O$500&lt;&gt;"")+--('STC Bank'!$P$9:$P$500&lt;&gt;"")+--('STC Bank'!$Q$9:$Q$500&lt;&gt;"")+--('STC Bank'!$R$9:$R$500&lt;&gt;""))&gt;=2))</x:f>
        <x:v>4</x:v>
      </x:c>
    </x:row>
    <x:row r="55" ht="18.649999618530273" customHeight="1">
      <x:c r="A55" s="32" t="s">
        <x:v>21</x:v>
      </x:c>
      <x:c r="B55" s="32" t="n">
        <x:f>COUNTIFS(barq!$C$9:$C$499,"&lt;&gt;",barq!$B$9:$B$499,"&lt;&gt;Merchant",barq!$O$9:$O$499,"&lt;&gt;")</x:f>
        <x:v>4</x:v>
      </x:c>
      <x:c r="C55" s="32" t="n">
        <x:f>COUNTIFS(barq!$C$9:$C$499,"&lt;&gt;",barq!$B$9:$B$499,"&lt;&gt;Merchant",barq!$P$9:$P$499,"&lt;&gt;")</x:f>
        <x:v>1</x:v>
      </x:c>
      <x:c r="D55" s="32" t="n">
        <x:f>COUNTIFS(barq!$C$9:$C$499,"&lt;&gt;",barq!$B$9:$B$499,"&lt;&gt;Merchant",barq!$Q$9:$Q$499,"&lt;&gt;")</x:f>
        <x:v>4</x:v>
      </x:c>
      <x:c r="E55" s="32" t="n">
        <x:f>COUNTIFS(barq!$C$9:$C$499,"&lt;&gt;",barq!$B$9:$B$499,"&lt;&gt;Merchant",barq!$R$9:$R$499,"&lt;&gt;")</x:f>
        <x:v>1</x:v>
      </x:c>
      <x:c r="F55" s="32" t="n">
        <x:f>SUMPRODUCT(--(barq!$C$9:$C$499&lt;&gt;""),--(barq!$B$9:$B$499&lt;&gt;"Merchant"),--((--(barq!$O$9:$O$499&lt;&gt;"")+--(barq!$P$9:$P$499&lt;&gt;"")+--(barq!$Q$9:$Q$499&lt;&gt;"")+--(barq!$R$9:$R$499&lt;&gt;""))&gt;=2))</x:f>
        <x:v>3</x:v>
      </x:c>
    </x:row>
    <x:row r="56" ht="18.649999618530273" customHeight="1">
      <x:c r="A56" s="32" t="s">
        <x:v>22</x:v>
      </x:c>
      <x:c r="B56" s="32" t="n">
        <x:f>COUNTIFS('Mobily Pay'!$C$9:$C$500,"&lt;&gt;",'Mobily Pay'!$B$9:$B$500,"&lt;&gt;Merchant",'Mobily Pay'!$O$9:$O$500,"&lt;&gt;")</x:f>
        <x:v>3</x:v>
      </x:c>
      <x:c r="C56" s="32" t="n">
        <x:f>COUNTIFS('Mobily Pay'!$C$9:$C$500,"&lt;&gt;",'Mobily Pay'!$B$9:$B$500,"&lt;&gt;Merchant",'Mobily Pay'!$P$9:$P$500,"&lt;&gt;")</x:f>
        <x:v>3</x:v>
      </x:c>
      <x:c r="D56" s="32" t="n">
        <x:f>COUNTIFS('Mobily Pay'!$C$9:$C$500,"&lt;&gt;",'Mobily Pay'!$B$9:$B$500,"&lt;&gt;Merchant",'Mobily Pay'!$Q$9:$Q$500,"&lt;&gt;")</x:f>
        <x:v>5</x:v>
      </x:c>
      <x:c r="E56" s="32" t="n">
        <x:f>COUNTIFS('Mobily Pay'!$C$9:$C$500,"&lt;&gt;",'Mobily Pay'!$B$9:$B$500,"&lt;&gt;Merchant",'Mobily Pay'!$R$9:$R$500,"&lt;&gt;")</x:f>
        <x:v>1</x:v>
      </x:c>
      <x:c r="F56" s="32" t="n">
        <x:f>SUMPRODUCT(--('Mobily Pay'!$C$9:$C$500&lt;&gt;""),--('Mobily Pay'!$B$9:$B$500&lt;&gt;"Merchant"),--((--('Mobily Pay'!$O$9:$O$500&lt;&gt;"")+--('Mobily Pay'!$P$9:$P$500&lt;&gt;"")+--('Mobily Pay'!$Q$9:$Q$500&lt;&gt;"")+--('Mobily Pay'!$R$9:$R$500&lt;&gt;""))&gt;=2))</x:f>
        <x:v>4</x:v>
      </x:c>
    </x:row>
    <x:row r="57" ht="18.649999618530273" customHeight="1">
      <x:c r="A57" s="32" t="s">
        <x:v>23</x:v>
      </x:c>
      <x:c r="B57" s="32" t="n">
        <x:f>COUNTIFS(tiqmo!$C$9:$C$500,"&lt;&gt;",tiqmo!$B$9:$B$500,"&lt;&gt;Merchant",tiqmo!$O$9:$O$500,"&lt;&gt;")</x:f>
        <x:v>4</x:v>
      </x:c>
      <x:c r="C57" s="32" t="n">
        <x:f>COUNTIFS(tiqmo!$C$9:$C$500,"&lt;&gt;",tiqmo!$B$9:$B$500,"&lt;&gt;Merchant",tiqmo!$P$9:$P$500,"&lt;&gt;")</x:f>
        <x:v>5</x:v>
      </x:c>
      <x:c r="D57" s="32" t="n">
        <x:f>COUNTIFS(tiqmo!$C$9:$C$500,"&lt;&gt;",tiqmo!$B$9:$B$500,"&lt;&gt;Merchant",tiqmo!$Q$9:$Q$500,"&lt;&gt;")</x:f>
        <x:v>5</x:v>
      </x:c>
      <x:c r="E57" s="32" t="n">
        <x:f>COUNTIFS(tiqmo!$C$9:$C$500,"&lt;&gt;",tiqmo!$B$9:$B$500,"&lt;&gt;Merchant",tiqmo!$R$9:$R$500,"&lt;&gt;")</x:f>
        <x:v>1</x:v>
      </x:c>
      <x:c r="F57" s="32" t="n">
        <x:f>SUMPRODUCT(--(tiqmo!$C$9:$C$500&lt;&gt;""),--(tiqmo!$B$9:$B$500&lt;&gt;"Merchant"),--((--(tiqmo!$O$9:$O$500&lt;&gt;"")+--(tiqmo!$P$9:$P$500&lt;&gt;"")+--(tiqmo!$Q$9:$Q$500&lt;&gt;"")+--(tiqmo!$R$9:$R$500&lt;&gt;""))&gt;=2))</x:f>
        <x:v>5</x:v>
      </x:c>
    </x:row>
    <x:row r="58" ht="18.649999618530273" customHeight="1">
      <x:c r="A58" s="32" t="s">
        <x:v>24</x:v>
      </x:c>
      <x:c r="B58" s="32" t="n">
        <x:f>COUNTIFS(urpay!$C$9:$C$500,"&lt;&gt;",urpay!$B$9:$B$500,"&lt;&gt;Merchant",urpay!$O$9:$O$500,"&lt;&gt;")</x:f>
        <x:v>0</x:v>
      </x:c>
      <x:c r="C58" s="32" t="n">
        <x:f>COUNTIFS(urpay!$C$9:$C$500,"&lt;&gt;",urpay!$B$9:$B$500,"&lt;&gt;Merchant",urpay!$P$9:$P$500,"&lt;&gt;")</x:f>
        <x:v>2</x:v>
      </x:c>
      <x:c r="D58" s="32" t="n">
        <x:f>COUNTIFS(urpay!$C$9:$C$500,"&lt;&gt;",urpay!$B$9:$B$500,"&lt;&gt;Merchant",urpay!$Q$9:$Q$500,"&lt;&gt;")</x:f>
        <x:v>2</x:v>
      </x:c>
      <x:c r="E58" s="32" t="n">
        <x:f>COUNTIFS(urpay!$C$9:$C$500,"&lt;&gt;",urpay!$B$9:$B$500,"&lt;&gt;Merchant",urpay!$R$9:$R$500,"&lt;&gt;")</x:f>
        <x:v>0</x:v>
      </x:c>
      <x:c r="F58" s="32" t="n">
        <x:f>SUMPRODUCT(--(urpay!$C$9:$C$500&lt;&gt;""),--(urpay!$B$9:$B$500&lt;&gt;"Merchant"),--((--(urpay!$O$9:$O$500&lt;&gt;"")+--(urpay!$P$9:$P$500&lt;&gt;"")+--(urpay!$Q$9:$Q$500&lt;&gt;"")+--(urpay!$R$9:$R$500&lt;&gt;""))&gt;=2))</x:f>
        <x:v>1</x:v>
      </x:c>
    </x:row>
    <x:row r="59" ht="18.649999618530273" customHeight="1">
      <x:c r="A59" s="32" t="s">
        <x:v>25</x:v>
      </x:c>
      <x:c r="B59" s="32" t="n">
        <x:f>COUNTIFS('alinma pay'!$C$9:$C$500,"&lt;&gt;",'alinma pay'!$B$9:$B$500,"&lt;&gt;Merchant",'alinma pay'!$O$9:$O$500,"&lt;&gt;")</x:f>
        <x:v>3</x:v>
      </x:c>
      <x:c r="C59" s="32" t="n">
        <x:f>COUNTIFS('alinma pay'!$C$9:$C$500,"&lt;&gt;",'alinma pay'!$B$9:$B$500,"&lt;&gt;Merchant",'alinma pay'!$P$9:$P$500,"&lt;&gt;")</x:f>
        <x:v>3</x:v>
      </x:c>
      <x:c r="D59" s="32" t="n">
        <x:f>COUNTIFS('alinma pay'!$C$9:$C$500,"&lt;&gt;",'alinma pay'!$B$9:$B$500,"&lt;&gt;Merchant",'alinma pay'!$Q$9:$Q$500,"&lt;&gt;")</x:f>
        <x:v>4</x:v>
      </x:c>
      <x:c r="E59" s="32" t="n">
        <x:f>COUNTIFS('alinma pay'!$C$9:$C$500,"&lt;&gt;",'alinma pay'!$B$9:$B$500,"&lt;&gt;Merchant",'alinma pay'!$R$9:$R$500,"&lt;&gt;")</x:f>
        <x:v>0</x:v>
      </x:c>
      <x:c r="F59" s="32" t="n">
        <x:f>SUMPRODUCT(--('alinma pay'!$C$9:$C$500&lt;&gt;""),--('alinma pay'!$B$9:$B$500&lt;&gt;"Merchant"),--((--('alinma pay'!$O$9:$O$500&lt;&gt;"")+--('alinma pay'!$P$9:$P$500&lt;&gt;"")+--('alinma pay'!$Q$9:$Q$500&lt;&gt;"")+--('alinma pay'!$R$9:$R$500&lt;&gt;""))&gt;=2))</x:f>
        <x:v>3</x:v>
      </x:c>
    </x:row>
    <x:row r="60">
      <x:c r="A60" s="37" t="s">
        <x:v>30</x:v>
      </x:c>
      <x:c r="B60" s="37" t="n">
        <x:f t="shared" ref="B60:F60" si="2">SUM(B54:B59)</x:f>
        <x:v>18</x:v>
      </x:c>
      <x:c r="C60" s="37">
        <x:f t="shared" si="2"/>
        <x:v>16</x:v>
      </x:c>
      <x:c r="D60" s="37">
        <x:f t="shared" si="2"/>
        <x:v>22</x:v>
      </x:c>
      <x:c r="E60" s="37">
        <x:f t="shared" si="2"/>
        <x:v>5</x:v>
      </x:c>
      <x:c r="F60" s="37">
        <x:f t="shared" si="2"/>
        <x:v>18</x:v>
      </x:c>
    </x:row>
    <x:row r="63" ht="15.5">
      <x:c r="A63" s="51" t="s">
        <x:v>41</x:v>
      </x:c>
      <x:c r="B63" s="51"/>
      <x:c r="C63" s="51"/>
      <x:c r="D63" s="51"/>
      <x:c r="E63" s="51"/>
      <x:c r="F63" s="51"/>
      <x:c r="G63" s="51"/>
      <x:c r="H63" s="51"/>
      <x:c r="I63" s="51"/>
      <x:c r="J63" s="51"/>
      <x:c r="K63" s="51"/>
      <x:c r="L63" s="51"/>
      <x:c r="M63" s="51"/>
      <x:c r="N63" s="51"/>
    </x:row>
    <x:row r="64" ht="22.649999618530273" customHeight="1">
      <x:c r="A64" s="50" t="s">
        <x:v>42</x:v>
      </x:c>
      <x:c r="B64" s="50"/>
      <x:c r="C64" s="50"/>
      <x:c r="D64" s="50"/>
      <x:c r="E64" s="50"/>
      <x:c r="F64" s="50"/>
      <x:c r="G64" s="50"/>
      <x:c r="H64" s="50"/>
      <x:c r="I64" s="50"/>
      <x:c r="J64" s="50"/>
      <x:c r="K64" s="50"/>
      <x:c r="L64" s="50"/>
      <x:c r="M64" s="50"/>
      <x:c r="N64" s="50"/>
    </x:row>
    <x:row r="65" ht="22.649999618530273" customHeight="1">
      <x:c r="A65" s="48" t="s">
        <x:v>43</x:v>
      </x:c>
      <x:c r="B65" s="48"/>
      <x:c r="C65" s="48"/>
      <x:c r="D65" s="48"/>
      <x:c r="E65" s="48"/>
      <x:c r="F65" s="48"/>
      <x:c r="G65" s="48"/>
      <x:c r="H65" s="48"/>
      <x:c r="I65" s="48"/>
      <x:c r="J65" s="48"/>
      <x:c r="K65" s="48"/>
      <x:c r="L65" s="48"/>
      <x:c r="M65" s="48"/>
      <x:c r="N65" s="48"/>
    </x:row>
    <x:row r="66" ht="22.649999618530273" customHeight="1">
      <x:c r="A66" s="61" t="s">
        <x:v>44</x:v>
      </x:c>
      <x:c r="B66" s="50"/>
      <x:c r="C66" s="50"/>
      <x:c r="D66" s="50"/>
      <x:c r="E66" s="50"/>
      <x:c r="F66" s="50"/>
      <x:c r="G66" s="50"/>
      <x:c r="H66" s="50"/>
      <x:c r="I66" s="50"/>
      <x:c r="J66" s="50"/>
      <x:c r="K66" s="50"/>
      <x:c r="L66" s="50"/>
      <x:c r="M66" s="50"/>
      <x:c r="N66" s="50"/>
    </x:row>
    <x:row r="67" ht="22.649999618530273" customHeight="1">
      <x:c r="A67" s="49" t="s">
        <x:v>45</x:v>
      </x:c>
      <x:c r="B67" s="49"/>
      <x:c r="C67" s="49"/>
      <x:c r="D67" s="49"/>
      <x:c r="E67" s="49"/>
      <x:c r="F67" s="49"/>
      <x:c r="G67" s="49"/>
      <x:c r="H67" s="49"/>
      <x:c r="I67" s="49"/>
      <x:c r="J67" s="49"/>
      <x:c r="K67" s="49"/>
      <x:c r="L67" s="49"/>
      <x:c r="M67" s="49"/>
      <x:c r="N67" s="49"/>
    </x:row>
  </x:sheetData>
  <x:mergeCells>
    <x:mergeCell ref="A63:N63"/>
    <x:mergeCell ref="A64:N64"/>
    <x:mergeCell ref="A65:N65"/>
    <x:mergeCell ref="A66:N66"/>
    <x:mergeCell ref="A67:N67"/>
    <x:mergeCell ref="A18:N18"/>
    <x:mergeCell ref="A30:N30"/>
    <x:mergeCell ref="A51:N51"/>
    <x:mergeCell ref="A42:N42"/>
    <x:mergeCell ref="A43:N43"/>
    <x:mergeCell ref="A44:N44"/>
    <x:mergeCell ref="A45:N45"/>
    <x:mergeCell ref="A46:N46"/>
    <x:mergeCell ref="A47:N47"/>
    <x:mergeCell ref="A48:N48"/>
    <x:mergeCell ref="A1:N1"/>
    <x:mergeCell ref="A2:N2"/>
    <x:mergeCell ref="G3:N3"/>
    <x:mergeCell ref="I5:J5"/>
    <x:mergeCell ref="I6:J6"/>
  </x:mergeCells>
  <x:conditionalFormatting sqref="B33:E38">
    <x:cfRule type="dataBar" priority="8">
      <x:dataBar>
        <x:cfvo type="min"/>
        <x:cfvo type="max"/>
        <x:color rgb="FFD8A63C"/>
      </x:dataBar>
    </x:cfRule>
    <x:cfRule type="dataBar" priority="16">
      <x:dataBar>
        <x:cfvo type="min"/>
        <x:cfvo type="max"/>
        <x:color rgb="FFD8A63C"/>
      </x:dataBar>
      <x:extLst>
        <x:ext xmlns:x14="http://schemas.microsoft.com/office/spreadsheetml/2009/9/main" uri="{B025F937-C7B1-47D3-B67F-A62EFF666E3E}">
          <x14:id>{393A9956-EDB8-3D59-110D-A245EDF1BCA4}</x14:id>
        </x:ext>
      </x:extLst>
    </x:cfRule>
  </x:conditionalFormatting>
  <x:conditionalFormatting sqref="B42:F47">
    <x:cfRule type="dataBar" priority="3">
      <x:dataBar>
        <x:cfvo type="min"/>
        <x:cfvo type="max"/>
        <x:color rgb="FFD8A63C"/>
      </x:dataBar>
    </x:cfRule>
    <x:cfRule type="dataBar" priority="12">
      <x:dataBar>
        <x:cfvo type="min"/>
        <x:cfvo type="max"/>
        <x:color rgb="FFD8A63C"/>
      </x:dataBar>
      <x:extLst>
        <x:ext xmlns:x14="http://schemas.microsoft.com/office/spreadsheetml/2009/9/main" uri="{B025F937-C7B1-47D3-B67F-A62EFF666E3E}">
          <x14:id>{33DEE8FF-E98A-620E-12BF-369A28736917}</x14:id>
        </x:ext>
      </x:extLst>
    </x:cfRule>
  </x:conditionalFormatting>
  <x:conditionalFormatting sqref="B54:F59">
    <x:cfRule type="dataBar" priority="9">
      <x:dataBar>
        <x:cfvo type="min"/>
        <x:cfvo type="max"/>
        <x:color rgb="FF4E87B8"/>
      </x:dataBar>
    </x:cfRule>
    <x:cfRule type="dataBar" priority="17">
      <x:dataBar>
        <x:cfvo type="min"/>
        <x:cfvo type="max"/>
        <x:color rgb="FF4E87B8"/>
      </x:dataBar>
      <x:extLst>
        <x:ext xmlns:x14="http://schemas.microsoft.com/office/spreadsheetml/2009/9/main" uri="{B025F937-C7B1-47D3-B67F-A62EFF666E3E}">
          <x14:id>{0C67B701-4450-BBE9-1208-6DDE839C43C3}</x14:id>
        </x:ext>
      </x:extLst>
    </x:cfRule>
  </x:conditionalFormatting>
  <x:conditionalFormatting sqref="B21:G26">
    <x:cfRule type="colorScale" priority="7">
      <x:colorScale>
        <x:cfvo type="min"/>
        <x:cfvo type="percentile" val="50"/>
        <x:cfvo type="max"/>
        <x:color rgb="FFF3F5F6"/>
        <x:color rgb="FFFFE6A5"/>
        <x:color rgb="FF00A6A6"/>
      </x:colorScale>
    </x:cfRule>
  </x:conditionalFormatting>
  <x:conditionalFormatting sqref="B21:H26">
    <x:cfRule type="colorScale" priority="2">
      <x:colorScale>
        <x:cfvo type="min"/>
        <x:cfvo type="percentile" val="50"/>
        <x:cfvo type="max"/>
        <x:color rgb="FFF3F5F6"/>
        <x:color rgb="FFFFE6A5"/>
        <x:color rgb="FF00A6A6"/>
      </x:colorScale>
    </x:cfRule>
  </x:conditionalFormatting>
  <x:conditionalFormatting sqref="H10:H15">
    <x:cfRule type="dataBar" priority="5">
      <x:dataBar>
        <x:cfvo type="min"/>
        <x:cfvo type="max"/>
        <x:color rgb="FF1F4E78"/>
      </x:dataBar>
    </x:cfRule>
    <x:cfRule type="dataBar" priority="14">
      <x:dataBar>
        <x:cfvo type="min"/>
        <x:cfvo type="max"/>
        <x:color rgb="FF1F4E78"/>
      </x:dataBar>
      <x:extLst>
        <x:ext xmlns:x14="http://schemas.microsoft.com/office/spreadsheetml/2009/9/main" uri="{B025F937-C7B1-47D3-B67F-A62EFF666E3E}">
          <x14:id>{90A1B3D9-FFF2-DEFE-C178-01E5A9CB7ECE}</x14:id>
        </x:ext>
      </x:extLst>
    </x:cfRule>
  </x:conditionalFormatting>
  <x:conditionalFormatting sqref="M10:M15">
    <x:cfRule type="dataBar" priority="6">
      <x:dataBar>
        <x:cfvo type="min"/>
        <x:cfvo type="max"/>
        <x:color rgb="FFD8A63C"/>
      </x:dataBar>
    </x:cfRule>
    <x:cfRule type="dataBar" priority="15">
      <x:dataBar>
        <x:cfvo type="min"/>
        <x:cfvo type="max"/>
        <x:color rgb="FFD8A63C"/>
      </x:dataBar>
      <x:extLst>
        <x:ext xmlns:x14="http://schemas.microsoft.com/office/spreadsheetml/2009/9/main" uri="{B025F937-C7B1-47D3-B67F-A62EFF666E3E}">
          <x14:id>{4A77C89F-F309-8DF5-E1A7-769C5FCEA681}</x14:id>
        </x:ext>
      </x:extLst>
    </x:cfRule>
  </x:conditionalFormatting>
  <x:conditionalFormatting sqref="B10:G15">
    <x:cfRule type="dataBar" priority="19">
      <x:dataBar>
        <x:cfvo type="min"/>
        <x:cfvo type="max"/>
        <x:color rgb="FF5B9BD5"/>
      </x:dataBar>
    </x:cfRule>
    <x:cfRule type="dataBar" priority="20">
      <x:dataBar>
        <x:cfvo type="min"/>
        <x:cfvo type="max"/>
        <x:color rgb="FF5B9BD5"/>
      </x:dataBar>
      <x:extLst>
        <x:ext xmlns:x14="http://schemas.microsoft.com/office/spreadsheetml/2009/9/main" uri="{B025F937-C7B1-47D3-B67F-A62EFF666E3E}">
          <x14:id>{9D3407BA-1134-6F9B-D19F-A613834C2A2D}</x14:id>
        </x:ext>
      </x:extLst>
    </x:cfRule>
  </x:conditionalFormatting>
  <x:conditionalFormatting sqref="B10:M15">
    <x:cfRule type="dataBar" priority="21">
      <x:dataBar>
        <x:cfvo type="min"/>
        <x:cfvo type="max"/>
        <x:color rgb="FF5B9BD5"/>
      </x:dataBar>
    </x:cfRule>
    <x:cfRule type="dataBar" priority="22">
      <x:dataBar>
        <x:cfvo type="min"/>
        <x:cfvo type="max"/>
        <x:color rgb="FF5B9BD5"/>
      </x:dataBar>
      <x:extLst>
        <x:ext xmlns:x14="http://schemas.microsoft.com/office/spreadsheetml/2009/9/main" uri="{B025F937-C7B1-47D3-B67F-A62EFF666E3E}">
          <x14:id>{52C91449-CBC7-ECC4-9FA2-668C83A5804F}</x14:id>
        </x:ext>
      </x:extLst>
    </x:cfRule>
  </x:conditionalFormatting>
  <x:pageMargins left="0.7" right="0.7" top="0.75" bottom="0.75" header="0.3" footer="0.3"/>
  <x:drawing xmlns:r="http://schemas.openxmlformats.org/officeDocument/2006/relationships" r:id="R8d9b1feeed504ee7"/>
  <x:extLst>
    <x:ext xmlns:x14="http://schemas.microsoft.com/office/spreadsheetml/2009/9/main" xmlns:xm="http://schemas.microsoft.com/office/excel/2006/main" uri="{78C0D931-6437-407d-A8EE-F0AAD7539E65}">
      <x14:conditionalFormattings>
        <x14:conditionalFormatting>
          <x14:cfRule type="dataBar" priority="16" id="{393A9956-EDB8-3D59-110D-A245EDF1BCA4}">
            <x14:dataBar>
              <x14:cfvo type="min"/>
              <x14:cfvo type="max"/>
              <x14:fillColor rgb="FFD8A63C"/>
              <x14:negativeFillColor auto="1"/>
              <x14:axisColor auto="1"/>
            </x14:dataBar>
          </x14:cfRule>
          <xm:sqref>B33:E38</xm:sqref>
        </x14:conditionalFormatting>
        <x14:conditionalFormatting>
          <x14:cfRule type="dataBar" priority="12" id="{33DEE8FF-E98A-620E-12BF-369A28736917}">
            <x14:dataBar>
              <x14:cfvo type="min"/>
              <x14:cfvo type="max"/>
              <x14:fillColor rgb="FFD8A63C"/>
              <x14:negativeFillColor auto="1"/>
              <x14:axisColor auto="1"/>
            </x14:dataBar>
          </x14:cfRule>
          <xm:sqref>B42:F47</xm:sqref>
        </x14:conditionalFormatting>
        <x14:conditionalFormatting>
          <x14:cfRule type="dataBar" priority="17" id="{0C67B701-4450-BBE9-1208-6DDE839C43C3}">
            <x14:dataBar>
              <x14:cfvo type="min"/>
              <x14:cfvo type="max"/>
              <x14:fillColor rgb="FF4E87B8"/>
              <x14:negativeFillColor auto="1"/>
              <x14:axisColor auto="1"/>
            </x14:dataBar>
          </x14:cfRule>
          <xm:sqref>B54:F59</xm:sqref>
        </x14:conditionalFormatting>
        <x14:conditionalFormatting>
          <x14:cfRule type="dataBar" priority="14" id="{90A1B3D9-FFF2-DEFE-C178-01E5A9CB7ECE}">
            <x14:dataBar>
              <x14:cfvo type="min"/>
              <x14:cfvo type="max"/>
              <x14:fillColor rgb="FF1F4E78"/>
              <x14:negativeFillColor auto="1"/>
              <x14:axisColor auto="1"/>
            </x14:dataBar>
          </x14:cfRule>
          <xm:sqref>H10:H15</xm:sqref>
        </x14:conditionalFormatting>
        <x14:conditionalFormatting>
          <x14:cfRule type="dataBar" priority="15" id="{4A77C89F-F309-8DF5-E1A7-769C5FCEA681}">
            <x14:dataBar>
              <x14:cfvo type="min"/>
              <x14:cfvo type="max"/>
              <x14:fillColor rgb="FFD8A63C"/>
              <x14:negativeFillColor auto="1"/>
              <x14:axisColor auto="1"/>
            </x14:dataBar>
          </x14:cfRule>
          <xm:sqref>M10:M15</xm:sqref>
        </x14:conditionalFormatting>
        <x14:conditionalFormatting>
          <x14:cfRule type="dataBar" priority="20" id="{9D3407BA-1134-6F9B-D19F-A613834C2A2D}">
            <x14:dataBar>
              <x14:cfvo type="min"/>
              <x14:cfvo type="max"/>
              <x14:fillColor rgb="FF5B9BD5"/>
              <x14:negativeFillColor auto="1"/>
              <x14:axisColor auto="1"/>
            </x14:dataBar>
          </x14:cfRule>
          <xm:sqref>B10:G15</xm:sqref>
        </x14:conditionalFormatting>
        <x14:conditionalFormatting>
          <x14:cfRule type="dataBar" priority="22" id="{52C91449-CBC7-ECC4-9FA2-668C83A5804F}">
            <x14:dataBar>
              <x14:cfvo type="min"/>
              <x14:cfvo type="max"/>
              <x14:fillColor rgb="FF5B9BD5"/>
              <x14:negativeFillColor auto="1"/>
              <x14:axisColor auto="1"/>
            </x14:dataBar>
          </x14:cfRule>
          <xm:sqref>B10:M15</xm:sqref>
        </x14:conditionalFormatting>
      </x14:conditionalFormattings>
    </x:ext>
  </x:extLst>
</x:worksheet>
</file>

<file path=xl/worksheets/sheet2.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46</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COUNTIFS('STC Bank'!$C$9:$C$500,"&lt;&gt;",'STC Bank'!$M$9:$M$500,"&lt;&gt;",'STC Bank'!$B$9:$B$500,"&lt;&gt;Merchant")</x:f>
        <x:v>6</x:v>
      </x:c>
      <x:c r="B5" s="53"/>
      <x:c r="C5" s="53"/>
      <x:c r="D5" s="53"/>
      <x:c r="E5" s="53" t="n">
        <x:f>COUNTIFS('STC Bank'!$C$9:$C$500,"&lt;&gt;",'STC Bank'!$M$9:$M$500,"&lt;&gt;",'STC Bank'!$B$9:$B$500,"&lt;&gt;Merchant",'STC Bank'!$I$9:$I$500,"&lt;&gt;Expired")</x:f>
        <x:v>5</x:v>
      </x:c>
      <x:c r="F5" s="53"/>
      <x:c r="G5" s="53"/>
      <x:c r="H5" s="53"/>
      <x:c r="I5" s="54" t="n">
        <x:f>COUNTIFS('STC Bank'!$C$9:$C$500,"&lt;&gt;",'STC Bank'!$M$9:$M$500,"&lt;&gt;",'STC Bank'!$B$9:$B$500,"&lt;&gt;Merchant",'STC Bank'!$I$9:$I$500,"&lt;&gt;Expired",'STC Bank'!$B$9:$B$500,"Remittance")</x:f>
        <x:v>0</x:v>
      </x:c>
      <x:c r="J5" s="54"/>
      <x:c r="K5" s="54"/>
      <x:c r="L5" s="54"/>
      <x:c r="M5" s="55" t="n">
        <x:f>COUNTIFS('STC Bank'!$C$9:$C$500,"&lt;&gt;",'STC Bank'!$M$9:$M$500,"&lt;&gt;",'STC Bank'!$B$9:$B$500,"Merchant",'STC Bank'!$I$9:$I$500,"&lt;&gt;Expired")</x:f>
        <x:v>8</x:v>
      </x:c>
      <x:c r="N5" s="55"/>
      <x:c r="O5" s="55"/>
      <x:c r="P5" s="55"/>
      <x:c r="Q5" s="53" t="n">
        <x:f>COUNTIFS('STC Bank'!$C$9:$C$500,"&lt;&gt;",'STC Bank'!$M$9:$M$500,"&lt;&gt;",'STC Bank'!$B$9:$B$500,"&lt;&gt;Merchant",'STC Bank'!$I$9:$I$500,"Expiring ≤7 Days")+COUNTIFS('STC Bank'!$C$9:$C$500,"&lt;&gt;",'STC Bank'!$M$9:$M$500,"&lt;&gt;",'STC Bank'!$B$9:$B$500,"&lt;&gt;Merchant",'STC Bank'!$I$9:$I$500,"Expiring 8–30 Days")</x:f>
        <x:v>3</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53" si="0">IF(C9="","",ROW()-8)</x:f>
        <x:v>1</x:v>
      </x:c>
      <x:c r="B9" s="4" t="inlineStr">
        <x:is>
          <x:t xml:space="preserve">Card</x:t>
        </x:is>
      </x:c>
      <x:c r="C9" s="4" t="inlineStr">
        <x:is>
          <x:t xml:space="preserve">0% International Transaction Fees and Free Cash Withdrawals</x:t>
        </x:is>
      </x:c>
      <x:c r="D9" s="4" t="inlineStr">
        <x:is>
          <x:t xml:space="preserve">0% fees on eligible international POS transactions and free withdrawals from international ATMs.</x:t>
        </x:is>
      </x:c>
      <x:c r="E9" s="5"/>
      <x:c r="F9" s="5" t="n">
        <x:v>46159.0</x:v>
      </x:c>
      <x:c r="G9" s="5" t="n">
        <x:v>46265.0</x:v>
      </x:c>
      <x:c r="H9" s="7" t="n">
        <x:f t="shared" ref="H9:H53" si="1">IF(OR(C9="",G9=""),"",G9-TODAY())</x:f>
        <x:v>25</x:v>
      </x:c>
      <x:c r="I9" s="6" t="str">
        <x:f t="shared" ref="I9:I53" si="2">IF(C9="","",IF(G9="","End Date Not Stated",IF(G9&lt;TODAY(),"Expired",IF(G9&lt;=TODAY()+7,"Expiring ≤7 Days",IF(G9&lt;=TODAY()+30,"Expiring 8–30 Days","Active")))))</x:f>
        <x:v>Expiring 8–30 Days</x:v>
      </x:c>
      <x:c r="J9" s="4" t="inlineStr">
        <x:is>
          <x:t xml:space="preserve">International POS purchases and international ATM withdrawals</x:t>
        </x:is>
      </x:c>
      <x:c r="K9" s="4" t="inlineStr">
        <x:is>
          <x:t xml:space="preserve">0% international transaction fees and free international ATM withdrawals</x:t>
        </x:is>
      </x:c>
      <x:c r="L9" s="4" t="inlineStr">
        <x:is>
          <x:t xml:space="preserve">STC Bank Visa Classic, Platinum, and Signature debit cards; credit cards excluded</x:t>
        </x:is>
      </x:c>
      <x:c r="M9" s="9" t="str">
        <x:f>IF(C9="","",IF(N9&lt;&gt;"",N9,IF(O9&lt;&gt;"",O9,IF(P9&lt;&gt;"",P9,IF(Q9&lt;&gt;"",Q9,IF(R9&lt;&gt;"",R9,""))))))</x:f>
        <x:v>https://stcbank.com.sa/en/web/guest/w/international-purchases-with-0-fees</x:v>
      </x:c>
      <x:c r="N9" s="4" t="inlineStr">
        <x:is>
          <x:t xml:space="preserve">https://stcbank.com.sa/en/web/guest/w/international-purchases-with-0-fees</x:t>
        </x:is>
      </x:c>
      <x:c r="O9" s="4" t="inlineStr">
        <x:is>
          <x:t xml:space="preserve">https://www.instagram.com/reel/DbJTohBs04q/</x:t>
        </x:is>
      </x:c>
      <x:c r="P9" s="4" t="inlineStr">
        <x:is>
          <x:t xml:space="preserve">https://x.com/stcbank_ksa/status/2071588243682832478</x:t>
        </x:is>
      </x:c>
      <x:c r="Q9" s="63" t="inlineStr">
        <x:is>
          <x:t xml:space="preserve">https://www.facebook.com/share/v/1BoJpH5Xnd/</x:t>
        </x:is>
      </x:c>
      <x:c r="R9" s="63" t="inlineStr">
        <x:is>
          <x:t xml:space="preserve">https://www.tiktok.com/@stcbank_ksa/video/7657549142540979477?is_from_webapp=1&amp;sender_device=pc&amp;web_id=7646835061455799828</x:t>
        </x:is>
      </x:c>
      <x:c r="S9" s="4" t="inlineStr">
        <x:is>
          <x:t xml:space="preserve">0% international POS fee campaign is valid from 17 May to 31 August 2026. International e-commerce purchases are excluded; free withdrawals apply to international ATMs. Digital-wallet purchases are eligible under the official terms.</x:t>
        </x:is>
      </x:c>
      <x:c r="T9" s="5" t="n">
        <x:v>46240.0</x:v>
      </x:c>
      <x:c r="U9" s="35" t="str">
        <x:f t="shared" ref="U9:U53" si="3">IF(C9="","",IF(COUNTA(O9:R9)=0,"No direct social post verified",IF(O9&lt;&gt;"","Instagram","")&amp;IF(AND(O9&lt;&gt;"",OR(P9&lt;&gt;"",Q9&lt;&gt;"",R9&lt;&gt;"")),", ","")&amp;IF(P9&lt;&gt;"","X","")&amp;IF(AND(P9&lt;&gt;"",OR(Q9&lt;&gt;"",R9&lt;&gt;"")),", ","")&amp;IF(Q9&lt;&gt;"","Facebook","")&amp;IF(AND(Q9&lt;&gt;"",R9&lt;&gt;""),", ","")&amp;IF(R9&lt;&gt;"","TikTok","")))</x:f>
        <x:v>Instagram, X, Facebook, TikTok</x:v>
      </x:c>
    </x:row>
    <x:row r="10" ht="46.650001525878906" customHeight="1">
      <x:c r="A10" s="8" t="n">
        <x:f t="shared" si="0">IF(C10="","",ROW()-8)</x:f>
        <x:v>2</x:v>
      </x:c>
      <x:c r="B10" s="4" t="inlineStr">
        <x:is>
          <x:t xml:space="preserve">Card</x:t>
        </x:is>
      </x:c>
      <x:c r="C10" s="4" t="inlineStr">
        <x:is>
          <x:t xml:space="preserve">Visa Card Rewards: iPhone 17 Pro and Apple Watch</x:t>
        </x:is>
      </x:c>
      <x:c r="D10" s="4" t="inlineStr">
        <x:is>
          <x:t xml:space="preserve">Monthly iPhone rewards for top spenders and weekly Apple Watch rewards for qualifying purchases.</x:t>
        </x:is>
      </x:c>
      <x:c r="E10" s="5"/>
      <x:c r="F10" s="5"/>
      <x:c r="G10" s="5" t="n">
        <x:v>46254.0</x:v>
      </x:c>
      <x:c r="H10" s="7" t="n">
        <x:f t="shared" si="1">IF(OR(C10="",G10=""),"",G10-TODAY())</x:f>
        <x:v>28</x:v>
      </x:c>
      <x:c r="I10" s="6" t="str">
        <x:f t="shared" si="2">IF(C10="","",IF(G10="","End Date Not Stated",IF(G10&lt;TODAY(),"Expired",IF(G10&lt;=TODAY()+7,"Expiring ≤7 Days",IF(G10&lt;=TODAY()+30,"Expiring 8–30 Days","Active")))))</x:f>
        <x:v>Expiring 8–30 Days</x:v>
      </x:c>
      <x:c r="J10" s="4" t="inlineStr">
        <x:is>
          <x:t xml:space="preserve">Domestic and international POS and e-commerce purchases</x:t>
        </x:is>
      </x:c>
      <x:c r="K10" s="4" t="inlineStr">
        <x:is>
          <x:t xml:space="preserve">12 iPhone 17 Pro devices and 144 Apple Watches</x:t>
        </x:is>
      </x:c>
      <x:c r="L10" s="4" t="inlineStr">
        <x:is>
          <x:t xml:space="preserve">STC Bank Visa Classic, Platinum, and Signature debit cards; credit cards excluded</x:t>
        </x:is>
      </x:c>
      <x:c r="M10" s="9" t="str">
        <x:f>IF(C10="","",IF(N10&lt;&gt;"",N10,IF(O10&lt;&gt;"",O10,IF(P10&lt;&gt;"",P10,IF(Q10&lt;&gt;"",Q10,IF(R10&lt;&gt;"",R10,""))))))</x:f>
        <x:v>https://stcbank.com.sa/en/web/guest/w/international-purchases-with-0-fees</x:v>
      </x:c>
      <x:c r="N10" s="63" t="inlineStr">
        <x:is>
          <x:t xml:space="preserve">https://stcbank.com.sa/en/web/guest/w/visa_cards_rewards</x:t>
        </x:is>
      </x:c>
      <x:c r="O10" s="4"/>
      <x:c r="P10" s="4"/>
      <x:c r="Q10" s="63"/>
      <x:c r="R10" s="4"/>
      <x:c r="S10" s="4" t="inlineStr">
        <x:is>
          <x:t xml:space="preserve">Campaign applies to Visa payment cards (Classic, Platinum, Signature), digital or physical; credit cards excluded. Monthly iPhone reward requires SAR 4,000 spend and weekly Apple Watch reward requires a SAR 300 qualifying purchase.</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Instagram, X, Facebook</x:v>
      </x:c>
    </x:row>
    <x:row r="11" ht="46.650001525878906" customHeight="1">
      <x:c r="A11" s="8" t="n">
        <x:f t="shared" si="0">IF(C11="","",ROW()-8)</x:f>
        <x:v>3</x:v>
      </x:c>
      <x:c r="B11" s="4" t="inlineStr">
        <x:is>
          <x:t xml:space="preserve">Card</x:t>
        </x:is>
      </x:c>
      <x:c r="C11" s="4" t="inlineStr">
        <x:is>
          <x:t xml:space="preserve">STC Bank Credit Card Launch</x:t>
        </x:is>
      </x:c>
      <x:c r="D11" s="4" t="inlineStr">
        <x:is>
          <x:t xml:space="preserve">Credit cards promoted with flexible cashback of up to 10% on selected categories and 1% on other purchases.</x:t>
        </x:is>
      </x:c>
      <x:c r="E11" s="5" t="n">
        <x:v>46217.0</x:v>
      </x:c>
      <x:c r="F11" s="5"/>
      <x:c r="G11" s="5"/>
      <x:c r="H11" s="7" t="n">
        <x:f t="shared" si="1">IF(OR(C11="",G11=""),"",G11-TODAY())</x:f>
        <x:v>14</x:v>
      </x:c>
      <x:c r="I11" s="6" t="str">
        <x:f t="shared" si="2">IF(C11="","",IF(G11="","End Date Not Stated",IF(G11&lt;TODAY(),"Expired",IF(G11&lt;=TODAY()+7,"Expiring ≤7 Days",IF(G11&lt;=TODAY()+30,"Expiring 8–30 Days","Active")))))</x:f>
        <x:v>Expiring 8–30 Days</x:v>
      </x:c>
      <x:c r="J11" s="4" t="inlineStr">
        <x:is>
          <x:t xml:space="preserve">Credit-card purchases</x:t>
        </x:is>
      </x:c>
      <x:c r="K11" s="4" t="inlineStr">
        <x:is>
          <x:t xml:space="preserve">Flexible category cashback of up to 10%</x:t>
        </x:is>
      </x:c>
      <x:c r="L11" s="4" t="inlineStr">
        <x:is>
          <x:t xml:space="preserve">STC Bank credit-card customers</x:t>
        </x:is>
      </x:c>
      <x:c r="M11" s="9" t="str">
        <x:f t="shared" ref="M11:M53" si="4">IF(C11="","",IF(N11&lt;&gt;"",N11,IF(O11&lt;&gt;"",O11,IF(P11&lt;&gt;"",P11,IF(Q11&lt;&gt;"",Q11,IF(R11&lt;&gt;"",R11,""))))))</x:f>
        <x:v>https://stcbank.com.sa/en/web/guest/w/visa_cards_rewards</x:v>
      </x:c>
      <x:c r="N11" s="63"/>
      <x:c r="O11" s="4" t="inlineStr">
        <x:is>
          <x:t xml:space="preserve">https://www.instagram.com/reel/DWots29j8fx/?hl=en</x:t>
        </x:is>
      </x:c>
      <x:c r="P11" s="4" t="inlineStr">
        <x:is>
          <x:t xml:space="preserve">https://x.com/stcbank_ksa/status/2071639841348124772</x:t>
        </x:is>
      </x:c>
      <x:c r="Q11" s="4" t="inlineStr">
        <x:is>
          <x:t xml:space="preserve">https://www.facebook.com/share/v/1CqU3VtD85/</x:t>
        </x:is>
      </x:c>
      <x:c r="R11" s="4"/>
      <x:c r="S11" s="4" t="inlineStr">
        <x:is>
          <x:t xml:space="preserve">Campaign end date is not stated in the official post. Social verification: Direct official launch/benefit posts verified on Instagram, X, and Facebook. The posts explicitly mention the Platinum credit card, first-year fee waiver, 0% international transaction fees, and cashback benefits. No specific direct TikTok post URL was verified.</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Almatar: Up to 10% Off</x:t>
        </x:is>
      </x:c>
      <x:c r="D12" s="4" t="inlineStr">
        <x:is>
          <x:t xml:space="preserve">Discounts on hotel and flight bookings through Almatar.</x:t>
        </x:is>
      </x:c>
      <x:c r="E12" s="5"/>
      <x:c r="F12" s="5"/>
      <x:c r="G12" s="5" t="n">
        <x:v>46752.0</x:v>
      </x:c>
      <x:c r="H12" s="7" t="str">
        <x:f t="shared" si="1">IF(OR(C12="",G12=""),"",G12-TODAY())</x:f>
      </x:c>
      <x:c r="I12" s="6" t="str">
        <x:f t="shared" si="2">IF(C12="","",IF(G12="","End Date Not Stated",IF(G12&lt;TODAY(),"Expired",IF(G12&lt;=TODAY()+7,"Expiring ≤7 Days",IF(G12&lt;=TODAY()+30,"Expiring 8–30 Days","Active")))))</x:f>
        <x:v>End Date Not Stated</x:v>
      </x:c>
      <x:c r="J12" s="4" t="inlineStr">
        <x:is>
          <x:t xml:space="preserve">Flight and hotel bookings</x:t>
        </x:is>
      </x:c>
      <x:c r="K12" s="4" t="inlineStr">
        <x:is>
          <x:t xml:space="preserve">10% off hotels with STCB10 and 5% off flights with STCB5</x:t>
        </x:is>
      </x:c>
      <x:c r="L12" s="4" t="inlineStr">
        <x:is>
          <x:t xml:space="preserve">All STC Bank cards</x:t>
        </x:is>
      </x:c>
      <x:c r="M12" s="9" t="str">
        <x:f t="shared" si="4">IF(C12="","",IF(N12&lt;&gt;"",N12,IF(O12&lt;&gt;"",O12,IF(P12&lt;&gt;"",P12,IF(Q12&lt;&gt;"",Q12,IF(R12&lt;&gt;"",R12,""))))))</x:f>
        <x:v>https://www.instagram.com/reel/DWots29j8fx/?hl=en</x:v>
      </x:c>
      <x:c r="N12" s="4" t="inlineStr">
        <x:is>
          <x:t xml:space="preserve">https://stcbank.com.sa/en/web/guest/w/almatar-offer</x:t>
        </x:is>
      </x:c>
      <x:c r="O12" s="63"/>
      <x:c r="P12" s="63"/>
      <x:c r="Q12" s="63"/>
      <x:c r="R12" s="4"/>
      <x:c r="S12" s="4" t="inlineStr">
        <x:is>
          <x:t xml:space="preserve">Official page now explicitly states validity through 31 December 2027. Digital-wallet payments are excluded.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Merchant</x:t>
        </x:is>
      </x:c>
      <x:c r="C13" s="4" t="inlineStr">
        <x:is>
          <x:t xml:space="preserve">Whites: Up to 15% Off</x:t>
        </x:is>
      </x:c>
      <x:c r="D13" s="4" t="inlineStr">
        <x:is>
          <x:t xml:space="preserve">15% off online purchases and 10% off in stores.</x:t>
        </x:is>
      </x:c>
      <x:c r="E13" s="5"/>
      <x:c r="F13" s="5"/>
      <x:c r="G13" s="5" t="n">
        <x:v>46234.0</x:v>
      </x:c>
      <x:c r="H13" s="7" t="n">
        <x:f t="shared" si="1">IF(OR(C13="",G13=""),"",G13-TODAY())</x:f>
        <x:v>512</x:v>
      </x:c>
      <x:c r="I13" s="6" t="str">
        <x:f t="shared" si="2">IF(C13="","",IF(G13="","End Date Not Stated",IF(G13&lt;TODAY(),"Expired",IF(G13&lt;=TODAY()+7,"Expiring ≤7 Days",IF(G13&lt;=TODAY()+30,"Expiring 8–30 Days","Active")))))</x:f>
        <x:v>Active</x:v>
      </x:c>
      <x:c r="J13" s="4" t="inlineStr">
        <x:is>
          <x:t xml:space="preserve">Beauty and healthcare retail</x:t>
        </x:is>
      </x:c>
      <x:c r="K13" s="4" t="inlineStr">
        <x:is>
          <x:t xml:space="preserve">15% online and 10% in stores; minimum spend SAR 200; maximum discount SAR 100</x:t>
        </x:is>
      </x:c>
      <x:c r="L13" s="4" t="inlineStr">
        <x:is>
          <x:t xml:space="preserve">STC Bank cards</x:t>
        </x:is>
      </x:c>
      <x:c r="M13" s="9" t="str">
        <x:f t="shared" si="4">IF(C13="","",IF(N13&lt;&gt;"",N13,IF(O13&lt;&gt;"",O13,IF(P13&lt;&gt;"",P13,IF(Q13&lt;&gt;"",Q13,IF(R13&lt;&gt;"",R13,""))))))</x:f>
        <x:v>https://stcbank.com.sa/en/web/guest/w/almatar-offer</x:v>
      </x:c>
      <x:c r="N13" s="4" t="inlineStr">
        <x:is>
          <x:t xml:space="preserve">https://stcbank.com.sa/en/web/guest/w/whites-offer</x:t>
        </x:is>
      </x:c>
      <x:c r="O13" s="4"/>
      <x:c r="P13" s="4"/>
      <x:c r="Q13" s="4"/>
      <x:c r="R13" s="4"/>
      <x:c r="S13" s="4" t="inlineStr">
        <x:is>
          <x:t xml:space="preserve">Offer was valid through 31 July 2026 and is now expired.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Huawei Device and Accessory Offers</x:t>
        </x:is>
      </x:c>
      <x:c r="D14" s="4" t="inlineStr">
        <x:is>
          <x:t xml:space="preserve">Special prices and selected gifts on eligible Huawei devices and accessories.</x:t>
        </x:is>
      </x:c>
      <x:c r="E14" s="5"/>
      <x:c r="F14" s="5"/>
      <x:c r="G14" s="5" t="n">
        <x:v>46236.0</x:v>
      </x:c>
      <x:c r="H14" s="7" t="n">
        <x:f t="shared" si="1">IF(OR(C14="",G14=""),"",G14-TODAY())</x:f>
        <x:v>-6</x:v>
      </x:c>
      <x:c r="I14" s="6" t="str">
        <x:f t="shared" si="2">IF(C14="","",IF(G14="","End Date Not Stated",IF(G14&lt;TODAY(),"Expired",IF(G14&lt;=TODAY()+7,"Expiring ≤7 Days",IF(G14&lt;=TODAY()+30,"Expiring 8–30 Days","Active")))))</x:f>
        <x:v>Expired</x:v>
      </x:c>
      <x:c r="J14" s="4" t="inlineStr">
        <x:is>
          <x:t xml:space="preserve">Electronics purchases</x:t>
        </x:is>
      </x:c>
      <x:c r="K14" s="4" t="inlineStr">
        <x:is>
          <x:t xml:space="preserve">Special prices and gifts on selected devices</x:t>
        </x:is>
      </x:c>
      <x:c r="L14" s="4" t="inlineStr">
        <x:is>
          <x:t xml:space="preserve">STC Bank cards</x:t>
        </x:is>
      </x:c>
      <x:c r="M14" s="9" t="str">
        <x:f t="shared" si="4">IF(C14="","",IF(N14&lt;&gt;"",N14,IF(O14&lt;&gt;"",O14,IF(P14&lt;&gt;"",P14,IF(Q14&lt;&gt;"",Q14,IF(R14&lt;&gt;"",R14,""))))))</x:f>
        <x:v>https://stcbank.com.sa/en/web/guest/w/whites-offer</x:v>
      </x:c>
      <x:c r="N14" s="4" t="inlineStr">
        <x:is>
          <x:t xml:space="preserve">https://stcbank.com.sa/en/web/guest/w/huawei</x:t>
        </x:is>
      </x:c>
      <x:c r="O14" s="4"/>
      <x:c r="P14" s="4"/>
      <x:c r="Q14" s="4"/>
      <x:c r="R14" s="4"/>
      <x:c r="S14" s="4" t="inlineStr">
        <x:is>
          <x:t xml:space="preserve">Offer was valid through 2 August 2026 and is now expired.</x:t>
        </x:is>
      </x:c>
      <x:c r="T14" s="5" t="n">
        <x:v>46240.0</x:v>
      </x:c>
      <x:c r="U14" s="35" t="str">
        <x:f t="shared" si="3">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Loca Beauty: 15% Off</x:t>
        </x:is>
      </x:c>
      <x:c r="D15" s="4" t="inlineStr">
        <x:is>
          <x:t xml:space="preserve">15% off online purchases using promo code STCB15.</x:t>
        </x:is>
      </x:c>
      <x:c r="E15" s="5"/>
      <x:c r="F15" s="5" t="n">
        <x:v>46001.0</x:v>
      </x:c>
      <x:c r="G15" s="5" t="n">
        <x:v>46259.0</x:v>
      </x:c>
      <x:c r="H15" s="7" t="n">
        <x:f t="shared" si="1">IF(OR(C15="",G15=""),"",G15-TODAY())</x:f>
        <x:v>-4</x:v>
      </x:c>
      <x:c r="I15" s="6" t="str">
        <x:f t="shared" si="2">IF(C15="","",IF(G15="","End Date Not Stated",IF(G15&lt;TODAY(),"Expired",IF(G15&lt;=TODAY()+7,"Expiring ≤7 Days",IF(G15&lt;=TODAY()+30,"Expiring 8–30 Days","Active")))))</x:f>
        <x:v>Expired</x:v>
      </x:c>
      <x:c r="J15" s="4" t="inlineStr">
        <x:is>
          <x:t xml:space="preserve">Online beauty purchases</x:t>
        </x:is>
      </x:c>
      <x:c r="K15" s="4" t="inlineStr">
        <x:is>
          <x:t xml:space="preserve">15% discount using code STCB15</x:t>
        </x:is>
      </x:c>
      <x:c r="L15" s="4" t="inlineStr">
        <x:is>
          <x:t xml:space="preserve">STC Bank Visa Classic, Platinum, and Signature cards</x:t>
        </x:is>
      </x:c>
      <x:c r="M15" s="9" t="str">
        <x:f t="shared" si="4">IF(C15="","",IF(N15&lt;&gt;"",N15,IF(O15&lt;&gt;"",O15,IF(P15&lt;&gt;"",P15,IF(Q15&lt;&gt;"",Q15,IF(R15&lt;&gt;"",R15,""))))))</x:f>
        <x:v>https://stcbank.com.sa/en/web/guest/w/huawei</x:v>
      </x:c>
      <x:c r="N15" s="4" t="inlineStr">
        <x:is>
          <x:t xml:space="preserve">https://stcbank.com.sa/en/web/guest/w/loca</x:t>
        </x:is>
      </x:c>
      <x:c r="O15" s="4"/>
      <x:c r="P15" s="4"/>
      <x:c r="Q15" s="4"/>
      <x:c r="R15" s="4"/>
      <x:c r="S15" s="4" t="inlineStr">
        <x:is>
          <x:t xml:space="preserve">Offer is valid through 25 August 2026. Discounted products and digital-wallet payments are excluded.</x:t>
        </x:is>
      </x:c>
      <x:c r="T15" s="5" t="n">
        <x:v>46240.0</x:v>
      </x:c>
      <x:c r="U15" s="35" t="str">
        <x:f t="shared" si="3">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Merchant</x:t>
        </x:is>
      </x:c>
      <x:c r="C16" s="4" t="inlineStr">
        <x:is>
          <x:t xml:space="preserve">Canton: 15% Off</x:t>
        </x:is>
      </x:c>
      <x:c r="D16" s="4" t="inlineStr">
        <x:is>
          <x:t xml:space="preserve">15% off eligible online purchases using promo code STCB15.</x:t>
        </x:is>
      </x:c>
      <x:c r="E16" s="5"/>
      <x:c r="F16" s="5"/>
      <x:c r="G16" s="5" t="n">
        <x:v>46293.0</x:v>
      </x:c>
      <x:c r="H16" s="7" t="n">
        <x:f t="shared" si="1">IF(OR(C16="",G16=""),"",G16-TODAY())</x:f>
        <x:v>19</x:v>
      </x:c>
      <x:c r="I16" s="6" t="str">
        <x:f t="shared" si="2">IF(C16="","",IF(G16="","End Date Not Stated",IF(G16&lt;TODAY(),"Expired",IF(G16&lt;=TODAY()+7,"Expiring ≤7 Days",IF(G16&lt;=TODAY()+30,"Expiring 8–30 Days","Active")))))</x:f>
        <x:v>Expiring 8–30 Days</x:v>
      </x:c>
      <x:c r="J16" s="4" t="inlineStr">
        <x:is>
          <x:t xml:space="preserve">E-commerce purchases</x:t>
        </x:is>
      </x:c>
      <x:c r="K16" s="4" t="inlineStr">
        <x:is>
          <x:t xml:space="preserve">15% discount using code STCB15</x:t>
        </x:is>
      </x:c>
      <x:c r="L16" s="4" t="inlineStr">
        <x:is>
          <x:t xml:space="preserve">STC Bank Visa Classic, Platinum, and Signature cards</x:t>
        </x:is>
      </x:c>
      <x:c r="M16" s="9" t="str">
        <x:f t="shared" si="4">IF(C16="","",IF(N16&lt;&gt;"",N16,IF(O16&lt;&gt;"",O16,IF(P16&lt;&gt;"",P16,IF(Q16&lt;&gt;"",Q16,IF(R16&lt;&gt;"",R16,""))))))</x:f>
        <x:v>https://stcbank.com.sa/en/web/guest/w/loca</x:v>
      </x:c>
      <x:c r="N16" s="4" t="inlineStr">
        <x:is>
          <x:t xml:space="preserve">https://stcbank.com.sa/en/web/guest/w/canton-offer</x:t>
        </x:is>
      </x:c>
      <x:c r="O16" s="4"/>
      <x:c r="P16" s="4"/>
      <x:c r="Q16" s="4"/>
      <x:c r="R16" s="4"/>
      <x:c r="S16" s="4" t="inlineStr">
        <x:is>
          <x:t xml:space="preserve">Official page explicitly states validity through 28 September 2026.</x:t>
        </x:is>
      </x:c>
      <x:c r="T16" s="5" t="n">
        <x:v>46240.0</x:v>
      </x:c>
      <x:c r="U16" s="35" t="str">
        <x:f t="shared" si="3">IF(C16="","",IF(COUNTA(O16:R16)=0,"No direct social post verified",IF(O16&lt;&gt;"","Instagram","")&amp;IF(AND(O16&lt;&gt;"",OR(P16&lt;&gt;"",Q16&lt;&gt;"",R16&lt;&gt;"")),", ","")&amp;IF(P16&lt;&gt;"","X","")&amp;IF(AND(P16&lt;&gt;"",OR(Q16&lt;&gt;"",R16&lt;&gt;"")),", ","")&amp;IF(Q16&lt;&gt;"","Facebook","")&amp;IF(AND(Q16&lt;&gt;"",R16&lt;&gt;""),", ","")&amp;IF(R16&lt;&gt;"","TikTok","")))</x:f>
        <x:v>No direct social post verified</x:v>
      </x:c>
    </x:row>
    <x:row r="17" ht="46.650001525878906" customHeight="1">
      <x:c r="A17" s="8" t="n">
        <x:f t="shared" si="0">IF(C17="","",ROW()-8)</x:f>
        <x:v>9</x:v>
      </x:c>
      <x:c r="B17" s="4" t="inlineStr">
        <x:is>
          <x:t xml:space="preserve">Merchant</x:t>
        </x:is>
      </x:c>
      <x:c r="C17" s="4" t="inlineStr">
        <x:is>
          <x:t xml:space="preserve">Dr. Nutrition: Up to 10% Off</x:t>
        </x:is>
      </x:c>
      <x:c r="D17" s="4" t="inlineStr">
        <x:is>
          <x:t xml:space="preserve">5% to 10% discounts on selected health and nutrition categories.</x:t>
        </x:is>
      </x:c>
      <x:c r="E17" s="5"/>
      <x:c r="F17" s="5"/>
      <x:c r="G17" s="5" t="n">
        <x:v>46295.0</x:v>
      </x:c>
      <x:c r="H17" s="7" t="n">
        <x:f t="shared" si="1">IF(OR(C17="",G17=""),"",G17-TODAY())</x:f>
        <x:v>53</x:v>
      </x:c>
      <x:c r="I17" s="6" t="str">
        <x:f t="shared" si="2">IF(C17="","",IF(G17="","End Date Not Stated",IF(G17&lt;TODAY(),"Expired",IF(G17&lt;=TODAY()+7,"Expiring ≤7 Days",IF(G17&lt;=TODAY()+30,"Expiring 8–30 Days","Active")))))</x:f>
        <x:v>Active</x:v>
      </x:c>
      <x:c r="J17" s="4" t="inlineStr">
        <x:is>
          <x:t xml:space="preserve">Health and nutrition purchases</x:t>
        </x:is>
      </x:c>
      <x:c r="K17" s="4" t="inlineStr">
        <x:is>
          <x:t xml:space="preserve">5% to 10% discount using code STCB</x:t>
        </x:is>
      </x:c>
      <x:c r="L17" s="4" t="inlineStr">
        <x:is>
          <x:t xml:space="preserve">STC Bank Visa Classic, Platinum, and Signature cards</x:t>
        </x:is>
      </x:c>
      <x:c r="M17" s="9" t="str">
        <x:f t="shared" si="4">IF(C17="","",IF(N17&lt;&gt;"",N17,IF(O17&lt;&gt;"",O17,IF(P17&lt;&gt;"",P17,IF(Q17&lt;&gt;"",Q17,IF(R17&lt;&gt;"",R17,""))))))</x:f>
        <x:v>https://stcbank.com.sa/en/web/guest/w/canton-offer</x:v>
      </x:c>
      <x:c r="N17" s="4" t="inlineStr">
        <x:is>
          <x:t xml:space="preserve">https://stcbank.com.sa/en/web/guest/w/boost-your-health</x:t>
        </x:is>
      </x:c>
      <x:c r="O17" s="4"/>
      <x:c r="P17" s="4"/>
      <x:c r="Q17" s="4"/>
      <x:c r="R17" s="4"/>
      <x:c r="S17" s="4" t="inlineStr">
        <x:is>
          <x:t xml:space="preserve">Official page explicitly states validity through 30 September 2026. Discount code STCB applies.</x:t>
        </x:is>
      </x:c>
      <x:c r="T17" s="5" t="n">
        <x:v>46240.0</x:v>
      </x:c>
      <x:c r="U17" s="35" t="str">
        <x:f t="shared" si="3">IF(C17="","",IF(COUNTA(O17:R17)=0,"No direct social post verified",IF(O17&lt;&gt;"","Instagram","")&amp;IF(AND(O17&lt;&gt;"",OR(P17&lt;&gt;"",Q17&lt;&gt;"",R17&lt;&gt;"")),", ","")&amp;IF(P17&lt;&gt;"","X","")&amp;IF(AND(P17&lt;&gt;"",OR(Q17&lt;&gt;"",R17&lt;&gt;"")),", ","")&amp;IF(Q17&lt;&gt;"","Facebook","")&amp;IF(AND(Q17&lt;&gt;"",R17&lt;&gt;""),", ","")&amp;IF(R17&lt;&gt;"","TikTok","")))</x:f>
        <x:v>No direct social post verified</x:v>
      </x:c>
    </x:row>
    <x:row r="18" ht="46.650001525878906" customHeight="1">
      <x:c r="A18" s="8" t="n">
        <x:f t="shared" si="0">IF(C18="","",ROW()-8)</x:f>
        <x:v>10</x:v>
      </x:c>
      <x:c r="B18" s="4" t="inlineStr">
        <x:is>
          <x:t xml:space="preserve">Merchant</x:t>
        </x:is>
      </x:c>
      <x:c r="C18" s="4" t="inlineStr">
        <x:is>
          <x:t xml:space="preserve">GO Sport: 10% Off</x:t>
        </x:is>
      </x:c>
      <x:c r="D18" s="4" t="inlineStr">
        <x:is>
          <x:t xml:space="preserve">10% off eligible online purchases using promo code STCB.</x:t>
        </x:is>
      </x:c>
      <x:c r="E18" s="5"/>
      <x:c r="F18" s="5"/>
      <x:c r="G18" s="5" t="n">
        <x:v>46295.0</x:v>
      </x:c>
      <x:c r="H18" s="7" t="n">
        <x:f t="shared" si="1">IF(OR(C18="",G18=""),"",G18-TODAY())</x:f>
        <x:v>55</x:v>
      </x:c>
      <x:c r="I18" s="6" t="str">
        <x:f t="shared" si="2">IF(C18="","",IF(G18="","End Date Not Stated",IF(G18&lt;TODAY(),"Expired",IF(G18&lt;=TODAY()+7,"Expiring ≤7 Days",IF(G18&lt;=TODAY()+30,"Expiring 8–30 Days","Active")))))</x:f>
        <x:v>Active</x:v>
      </x:c>
      <x:c r="J18" s="4" t="inlineStr">
        <x:is>
          <x:t xml:space="preserve">Sports retail purchases</x:t>
        </x:is>
      </x:c>
      <x:c r="K18" s="4" t="inlineStr">
        <x:is>
          <x:t xml:space="preserve">10% discount using code STCB</x:t>
        </x:is>
      </x:c>
      <x:c r="L18" s="4" t="inlineStr">
        <x:is>
          <x:t xml:space="preserve">STC Bank Visa Classic, Platinum, and Signature cards</x:t>
        </x:is>
      </x:c>
      <x:c r="M18" s="9" t="str">
        <x:f t="shared" si="4">IF(C18="","",IF(N18&lt;&gt;"",N18,IF(O18&lt;&gt;"",O18,IF(P18&lt;&gt;"",P18,IF(Q18&lt;&gt;"",Q18,IF(R18&lt;&gt;"",R18,""))))))</x:f>
        <x:v>https://stcbank.com.sa/en/web/guest/w/boost-your-health</x:v>
      </x:c>
      <x:c r="N18" s="4" t="inlineStr">
        <x:is>
          <x:t xml:space="preserve">https://stcbank.com.sa/en/web/guest/w/shop-workout-and-save-with-10-off-on-gosport</x:t>
        </x:is>
      </x:c>
      <x:c r="O18" s="4"/>
      <x:c r="P18" s="4"/>
      <x:c r="Q18" s="4"/>
      <x:c r="R18" s="4"/>
      <x:c r="S18" s="4" t="inlineStr">
        <x:is>
          <x:t xml:space="preserve">Official page explicitly states validity through 30 September 2026. Discount code STCB applies.</x:t>
        </x:is>
      </x:c>
      <x:c r="T18" s="5" t="n">
        <x:v>46240.0</x:v>
      </x:c>
      <x:c r="U18" s="35" t="str">
        <x:f t="shared" si="3">IF(C18="","",IF(COUNTA(O18:R18)=0,"No direct social post verified",IF(O18&lt;&gt;"","Instagram","")&amp;IF(AND(O18&lt;&gt;"",OR(P18&lt;&gt;"",Q18&lt;&gt;"",R18&lt;&gt;"")),", ","")&amp;IF(P18&lt;&gt;"","X","")&amp;IF(AND(P18&lt;&gt;"",OR(Q18&lt;&gt;"",R18&lt;&gt;"")),", ","")&amp;IF(Q18&lt;&gt;"","Facebook","")&amp;IF(AND(Q18&lt;&gt;"",R18&lt;&gt;""),", ","")&amp;IF(R18&lt;&gt;"","TikTok","")))</x:f>
        <x:v>No direct social post verified</x:v>
      </x:c>
    </x:row>
    <x:row r="19" ht="46.650001525878906" customHeight="1">
      <x:c r="A19" s="8" t="n">
        <x:f t="shared" si="0">IF(C19="","",ROW()-8)</x:f>
        <x:v>11</x:v>
      </x:c>
      <x:c r="B19" s="4" t="inlineStr">
        <x:is>
          <x:t xml:space="preserve">Merchant</x:t>
        </x:is>
      </x:c>
      <x:c r="C19" s="4" t="inlineStr">
        <x:is>
          <x:t xml:space="preserve">iHerb: Up to 25% Off</x:t>
        </x:is>
      </x:c>
      <x:c r="D19" s="4" t="inlineStr">
        <x:is>
          <x:t xml:space="preserve">Visa discounts for new and existing iHerb customers.</x:t>
        </x:is>
      </x:c>
      <x:c r="E19" s="5"/>
      <x:c r="F19" s="5"/>
      <x:c r="G19" s="5" t="n">
        <x:v>46295.0</x:v>
      </x:c>
      <x:c r="H19" s="7" t="n">
        <x:f t="shared" si="1">IF(OR(C19="",G19=""),"",G19-TODAY())</x:f>
        <x:v>55</x:v>
      </x:c>
      <x:c r="I19" s="6" t="str">
        <x:f t="shared" si="2">IF(C19="","",IF(G19="","End Date Not Stated",IF(G19&lt;TODAY(),"Expired",IF(G19&lt;=TODAY()+7,"Expiring ≤7 Days",IF(G19&lt;=TODAY()+30,"Expiring 8–30 Days","Active")))))</x:f>
        <x:v>Active</x:v>
      </x:c>
      <x:c r="J19" s="4" t="inlineStr">
        <x:is>
          <x:t xml:space="preserve">Health and wellness e-commerce purchases</x:t>
        </x:is>
      </x:c>
      <x:c r="K19" s="4" t="inlineStr">
        <x:is>
          <x:t xml:space="preserve">Up to 25% off for new customers and 10% for existing customers</x:t>
        </x:is>
      </x:c>
      <x:c r="L19" s="4" t="inlineStr">
        <x:is>
          <x:t xml:space="preserve">Eligible STC Bank Visa cards</x:t>
        </x:is>
      </x:c>
      <x:c r="M19" s="9" t="str">
        <x:f t="shared" si="4">IF(C19="","",IF(N19&lt;&gt;"",N19,IF(O19&lt;&gt;"",O19,IF(P19&lt;&gt;"",P19,IF(Q19&lt;&gt;"",Q19,IF(R19&lt;&gt;"",R19,""))))))</x:f>
        <x:v>https://stcbank.com.sa/en/web/guest/w/shop-workout-and-save-with-10-off-on-gosport</x:v>
      </x:c>
      <x:c r="N19" s="4" t="inlineStr">
        <x:is>
          <x:t xml:space="preserve">https://stcbank.com.sa/en/web/guest/w/iherb-offer</x:t>
        </x:is>
      </x:c>
      <x:c r="O19" s="4"/>
      <x:c r="P19" s="4"/>
      <x:c r="Q19" s="4"/>
      <x:c r="R19" s="4"/>
      <x:c r="S19" s="4" t="inlineStr">
        <x:is>
          <x:t xml:space="preserve">Official page explicitly states validity through 30 September 2026.</x:t>
        </x:is>
      </x:c>
      <x:c r="T19" s="5" t="n">
        <x:v>46240.0</x:v>
      </x:c>
      <x:c r="U19" s="35" t="str">
        <x:f t="shared" si="3">IF(C19="","",IF(COUNTA(O19:R19)=0,"No direct social post verified",IF(O19&lt;&gt;"","Instagram","")&amp;IF(AND(O19&lt;&gt;"",OR(P19&lt;&gt;"",Q19&lt;&gt;"",R19&lt;&gt;"")),", ","")&amp;IF(P19&lt;&gt;"","X","")&amp;IF(AND(P19&lt;&gt;"",OR(Q19&lt;&gt;"",R19&lt;&gt;"")),", ","")&amp;IF(Q19&lt;&gt;"","Facebook","")&amp;IF(AND(Q19&lt;&gt;"",R19&lt;&gt;""),", ","")&amp;IF(R19&lt;&gt;"","TikTok","")))</x:f>
        <x:v>No direct social post verified</x:v>
      </x:c>
    </x:row>
    <x:row r="20" ht="46.650001525878906" customHeight="1">
      <x:c r="A20" s="8" t="n">
        <x:f t="shared" si="0">IF(C20="","",ROW()-8)</x:f>
        <x:v>12</x:v>
      </x:c>
      <x:c r="B20" s="4" t="inlineStr">
        <x:is>
          <x:t xml:space="preserve">Merchant</x:t>
        </x:is>
      </x:c>
      <x:c r="C20" s="4" t="inlineStr">
        <x:is>
          <x:t xml:space="preserve">Abdullah Al Othaim Entertainment</x:t>
        </x:is>
      </x:c>
      <x:c r="D20" s="4" t="inlineStr">
        <x:is>
          <x:t xml:space="preserve">Bonus credit and discounts across selected family-entertainment destinations.</x:t>
        </x:is>
      </x:c>
      <x:c r="E20" s="5"/>
      <x:c r="F20" s="5"/>
      <x:c r="G20" s="5" t="n">
        <x:v>46752.0</x:v>
      </x:c>
      <x:c r="H20" s="7" t="n">
        <x:f t="shared" si="1">IF(OR(C20="",G20=""),"",G20-TODAY())</x:f>
        <x:v>55</x:v>
      </x:c>
      <x:c r="I20" s="6" t="str">
        <x:f t="shared" si="2">IF(C20="","",IF(G20="","End Date Not Stated",IF(G20&lt;TODAY(),"Expired",IF(G20&lt;=TODAY()+7,"Expiring ≤7 Days",IF(G20&lt;=TODAY()+30,"Expiring 8–30 Days","Active")))))</x:f>
        <x:v>Active</x:v>
      </x:c>
      <x:c r="J20" s="4" t="inlineStr">
        <x:is>
          <x:t xml:space="preserve">Family entertainment</x:t>
        </x:is>
      </x:c>
      <x:c r="K20" s="4" t="inlineStr">
        <x:is>
          <x:t xml:space="preserve">Bonus credit and discounts ranging from 20% to 30%</x:t>
        </x:is>
      </x:c>
      <x:c r="L20" s="4" t="inlineStr">
        <x:is>
          <x:t xml:space="preserve">All STC Bank cards</x:t>
        </x:is>
      </x:c>
      <x:c r="M20" s="9" t="str">
        <x:f t="shared" si="4">IF(C20="","",IF(N20&lt;&gt;"",N20,IF(O20&lt;&gt;"",O20,IF(P20&lt;&gt;"",P20,IF(Q20&lt;&gt;"",Q20,IF(R20&lt;&gt;"",R20,""))))))</x:f>
        <x:v>https://stcbank.com.sa/en/web/guest/w/iherb-offer</x:v>
      </x:c>
      <x:c r="N20" s="4" t="inlineStr">
        <x:is>
          <x:t xml:space="preserve">https://stcbank.com.sa/en/web/guest/w/alothaim-entertainment</x:t>
        </x:is>
      </x:c>
      <x:c r="O20" s="4"/>
      <x:c r="P20" s="4"/>
      <x:c r="Q20" s="4"/>
      <x:c r="R20" s="4"/>
      <x:c r="S20" s="4" t="inlineStr">
        <x:is>
          <x:t xml:space="preserve">Official page now explicitly states validity through 31 December 2027. Offer mechanics vary by Al Othaim Entertainment destination.</x:t>
        </x:is>
      </x:c>
      <x:c r="T20" s="5" t="n">
        <x:v>46240.0</x:v>
      </x:c>
      <x:c r="U20" s="35" t="str">
        <x:f t="shared" si="3">IF(C20="","",IF(COUNTA(O20:R20)=0,"No direct social post verified",IF(O20&lt;&gt;"","Instagram","")&amp;IF(AND(O20&lt;&gt;"",OR(P20&lt;&gt;"",Q20&lt;&gt;"",R20&lt;&gt;"")),", ","")&amp;IF(P20&lt;&gt;"","X","")&amp;IF(AND(P20&lt;&gt;"",OR(Q20&lt;&gt;"",R20&lt;&gt;"")),", ","")&amp;IF(Q20&lt;&gt;"","Facebook","")&amp;IF(AND(Q20&lt;&gt;"",R20&lt;&gt;""),", ","")&amp;IF(R20&lt;&gt;"","TikTok","")))</x:f>
        <x:v>No direct social post verified</x:v>
      </x:c>
    </x:row>
    <x:row r="21" ht="46.650001525878906" customHeight="1">
      <x:c r="A21" s="8" t="n">
        <x:f t="shared" si="0">IF(C21="","",ROW()-8)</x:f>
        <x:v>13</x:v>
      </x:c>
      <x:c r="B21" s="4" t="inlineStr">
        <x:is>
          <x:t xml:space="preserve">Merchant</x:t>
        </x:is>
      </x:c>
      <x:c r="C21" s="4" t="inlineStr">
        <x:is>
          <x:t xml:space="preserve">Yelo: 10% Off</x:t>
        </x:is>
      </x:c>
      <x:c r="D21" s="4" t="inlineStr">
        <x:is>
          <x:t xml:space="preserve">10% off eligible bookings through the Yelo website and app.</x:t>
        </x:is>
      </x:c>
      <x:c r="E21" s="5"/>
      <x:c r="F21" s="5"/>
      <x:c r="G21" s="5" t="n">
        <x:v>46752.0</x:v>
      </x:c>
      <x:c r="H21" s="7" t="n">
        <x:f t="shared" si="1">IF(OR(C21="",G21=""),"",G21-TODAY())</x:f>
        <x:v>512</x:v>
      </x:c>
      <x:c r="I21" s="6" t="str">
        <x:f t="shared" si="2">IF(C21="","",IF(G21="","End Date Not Stated",IF(G21&lt;TODAY(),"Expired",IF(G21&lt;=TODAY()+7,"Expiring ≤7 Days",IF(G21&lt;=TODAY()+30,"Expiring 8–30 Days","Active")))))</x:f>
        <x:v>Active</x:v>
      </x:c>
      <x:c r="J21" s="4" t="inlineStr">
        <x:is>
          <x:t xml:space="preserve">Car rental</x:t>
        </x:is>
      </x:c>
      <x:c r="K21" s="4" t="inlineStr">
        <x:is>
          <x:t xml:space="preserve">10% discount using code STCB1</x:t>
        </x:is>
      </x:c>
      <x:c r="L21" s="4" t="inlineStr">
        <x:is>
          <x:t xml:space="preserve">STC Bank mada and credit cards</x:t>
        </x:is>
      </x:c>
      <x:c r="M21" s="9" t="str">
        <x:f t="shared" si="4">IF(C21="","",IF(N21&lt;&gt;"",N21,IF(O21&lt;&gt;"",O21,IF(P21&lt;&gt;"",P21,IF(Q21&lt;&gt;"",Q21,IF(R21&lt;&gt;"",R21,""))))))</x:f>
        <x:v>https://stcbank.com.sa/en/web/guest/w/alothaim-entertainment</x:v>
      </x:c>
      <x:c r="N21" s="4" t="inlineStr">
        <x:is>
          <x:t xml:space="preserve">https://stcbank.com.sa/en/web/guest/w/yelo</x:t>
        </x:is>
      </x:c>
      <x:c r="O21" s="4"/>
      <x:c r="P21" s="4"/>
      <x:c r="Q21" s="4"/>
      <x:c r="R21" s="4"/>
      <x:c r="S21" s="4" t="inlineStr">
        <x:is>
          <x:t xml:space="preserve">Official page now explicitly states validity through 31 December 2027. Digital-wallet payments are excluded.</x:t>
        </x:is>
      </x:c>
      <x:c r="T21" s="5" t="n">
        <x:v>46240.0</x:v>
      </x:c>
      <x:c r="U21" s="35" t="str">
        <x:f t="shared" si="3">IF(C21="","",IF(COUNTA(O21:R21)=0,"No direct social post verified",IF(O21&lt;&gt;"","Instagram","")&amp;IF(AND(O21&lt;&gt;"",OR(P21&lt;&gt;"",Q21&lt;&gt;"",R21&lt;&gt;"")),", ","")&amp;IF(P21&lt;&gt;"","X","")&amp;IF(AND(P21&lt;&gt;"",OR(Q21&lt;&gt;"",R21&lt;&gt;"")),", ","")&amp;IF(Q21&lt;&gt;"","Facebook","")&amp;IF(AND(Q21&lt;&gt;"",R21&lt;&gt;""),", ","")&amp;IF(R21&lt;&gt;"","TikTok","")))</x:f>
        <x:v>No direct social post verified</x:v>
      </x:c>
    </x:row>
    <x:row r="22" ht="46.650001525878906" customHeight="1">
      <x:c r="A22" s="8" t="n">
        <x:f t="shared" si="0">IF(C22="","",ROW()-8)</x:f>
        <x:v>14</x:v>
      </x:c>
      <x:c r="B22" s="4" t="inlineStr">
        <x:is>
          <x:t xml:space="preserve">Engagement</x:t>
        </x:is>
      </x:c>
      <x:c r="C22" s="4" t="inlineStr">
        <x:is>
          <x:t xml:space="preserve">STC Bank Championship</x:t>
        </x:is>
      </x:c>
      <x:c r="D22" s="4" t="inlineStr">
        <x:is>
          <x:t xml:space="preserve">Daily football quiz campaign with prizes for leading participants.</x:t>
        </x:is>
      </x:c>
      <x:c r="E22" s="5"/>
      <x:c r="F22" s="5" t="n">
        <x:v>46184.0</x:v>
      </x:c>
      <x:c r="G22" s="5" t="n">
        <x:v>46222.0</x:v>
      </x:c>
      <x:c r="H22" s="7" t="n">
        <x:f t="shared" si="1">IF(OR(C22="",G22=""),"",G22-TODAY())</x:f>
        <x:v>512</x:v>
      </x:c>
      <x:c r="I22" s="6" t="str">
        <x:f t="shared" si="2">IF(C22="","",IF(G22="","End Date Not Stated",IF(G22&lt;TODAY(),"Expired",IF(G22&lt;=TODAY()+7,"Expiring ≤7 Days",IF(G22&lt;=TODAY()+30,"Expiring 8–30 Days","Active")))))</x:f>
        <x:v>Active</x:v>
      </x:c>
      <x:c r="J22" s="4" t="inlineStr">
        <x:is>
          <x:t xml:space="preserve">In-app engagement</x:t>
        </x:is>
      </x:c>
      <x:c r="K22" s="4" t="inlineStr">
        <x:is>
          <x:t xml:space="preserve">Daily leaderboard and prizes</x:t>
        </x:is>
      </x:c>
      <x:c r="L22" s="4" t="inlineStr">
        <x:is>
          <x:t xml:space="preserve">STC Bank app customers</x:t>
        </x:is>
      </x:c>
      <x:c r="M22" s="9" t="str">
        <x:f t="shared" si="4">IF(C22="","",IF(N22&lt;&gt;"",N22,IF(O22&lt;&gt;"",O22,IF(P22&lt;&gt;"",P22,IF(Q22&lt;&gt;"",Q22,IF(R22&lt;&gt;"",R22,""))))))</x:f>
        <x:v>https://stcbank.com.sa/en/web/guest/w/yelo</x:v>
      </x:c>
      <x:c r="N22" s="4" t="inlineStr">
        <x:is>
          <x:t xml:space="preserve">https://stcbank.com.sa/en/web/guest/w/stcbank-championship</x:t>
        </x:is>
      </x:c>
      <x:c r="O22" s="4" t="inlineStr">
        <x:is>
          <x:t xml:space="preserve">https://www.instagram.com/reel/DZdT9oVs4pw/?hl=en</x:t>
        </x:is>
      </x:c>
      <x:c r="P22" s="4" t="inlineStr">
        <x:is>
          <x:t xml:space="preserve">https://x.com/stcbank_ksa/status/2065159633942274387</x:t>
        </x:is>
      </x:c>
      <x:c r="Q22" s="4" t="inlineStr">
        <x:is>
          <x:t xml:space="preserve">https://www.facebook.com/share/v/1EMLYL7XMs/</x:t>
        </x:is>
      </x:c>
      <x:c r="R22" s="4" t="inlineStr">
        <x:is>
          <x:t xml:space="preserve">https://www.tiktok.com/@stcbank_ksa/video/7650240341047725333?is_from_webapp=1&amp;sender_device=pc&amp;web_id=7646835061455799828</x:t>
        </x:is>
      </x:c>
      <x:c r="S22" s="4" t="inlineStr">
        <x:is>
          <x:t xml:space="preserve">Included as a recent expired campaign for competitive context. Social verification: Direct official posts verified on Instagram, X, and Facebook. Indexed captions/OCR explicitly mention STC Bank Championship, football questions, 50 daily winners, and the tournament period. No specific direct TikTok post URL was verified.</x:t>
        </x:is>
      </x:c>
      <x:c r="T22" s="5" t="n">
        <x:v>46240.0</x:v>
      </x:c>
      <x:c r="U22" s="35" t="str">
        <x:f t="shared" si="3">IF(C22="","",IF(COUNTA(O22:R22)=0,"No direct social post verified",IF(O22&lt;&gt;"","Instagram","")&amp;IF(AND(O22&lt;&gt;"",OR(P22&lt;&gt;"",Q22&lt;&gt;"",R22&lt;&gt;"")),", ","")&amp;IF(P22&lt;&gt;"","X","")&amp;IF(AND(P22&lt;&gt;"",OR(Q22&lt;&gt;"",R22&lt;&gt;"")),", ","")&amp;IF(Q22&lt;&gt;"","Facebook","")&amp;IF(AND(Q22&lt;&gt;"",R22&lt;&gt;""),", ","")&amp;IF(R22&lt;&gt;"","TikTok","")))</x:f>
        <x:v>No direct social post verified</x:v>
      </x:c>
    </x:row>
    <x:row r="23" ht="46.650001525878906" customHeight="1">
      <x:c r="A23" s="8" t="n">
        <x:f t="shared" si="0">IF(C23="","",ROW()-8)</x:f>
        <x:v>15</x:v>
      </x:c>
      <x:c r="B23" s="4" t="inlineStr">
        <x:is>
          <x:t xml:space="preserve">Card</x:t>
        </x:is>
      </x:c>
      <x:c r="C23" s="4" t="inlineStr">
        <x:is>
          <x:t xml:space="preserve">Targeted Cash Reward on International Purchases</x:t>
        </x:is>
      </x:c>
      <x:c r="D23" s="4" t="inlineStr">
        <x:is>
          <x:t xml:space="preserve">Selected customers can earn a cash amount after meeting the international-spend requirement stated in an STC Bank SMS.</x:t>
        </x:is>
      </x:c>
      <x:c r="E23" s="5"/>
      <x:c r="F23" s="5"/>
      <x:c r="G23" s="5" t="n">
        <x:v>46297.0</x:v>
      </x:c>
      <x:c r="H23" s="7" t="n">
        <x:f t="shared" si="1">IF(OR(C23="",G23=""),"",G23-TODAY())</x:f>
        <x:v>-18</x:v>
      </x:c>
      <x:c r="I23" s="6" t="str">
        <x:f t="shared" si="2">IF(C23="","",IF(G23="","End Date Not Stated",IF(G23&lt;TODAY(),"Expired",IF(G23&lt;=TODAY()+7,"Expiring ≤7 Days",IF(G23&lt;=TODAY()+30,"Expiring 8–30 Days","Active")))))</x:f>
        <x:v>Expired</x:v>
      </x:c>
      <x:c r="J23" s="4" t="inlineStr">
        <x:is>
          <x:t xml:space="preserve">International POS and e-commerce purchases</x:t>
        </x:is>
      </x:c>
      <x:c r="K23" s="4" t="inlineStr">
        <x:is>
          <x:t xml:space="preserve">Cash amount specified in the customer SMS after meeting the stated minimum spend</x:t>
        </x:is>
      </x:c>
      <x:c r="L23" s="4" t="inlineStr">
        <x:is>
          <x:t xml:space="preserve">Selected customers who received the offer SMS; STC Bank Visa payment cards (Classic, Platinum, Signature), digital or physical</x:t>
        </x:is>
      </x:c>
      <x:c r="M23" s="9" t="str">
        <x:f t="shared" si="4">IF(C23="","",IF(N23&lt;&gt;"",N23,IF(O23&lt;&gt;"",O23,IF(P23&lt;&gt;"",P23,IF(Q23&lt;&gt;"",Q23,IF(R23&lt;&gt;"",R23,""))))))</x:f>
        <x:v>https://stcbank.com.sa/en/web/guest/w/stcbank-championship</x:v>
      </x:c>
      <x:c r="N23" s="4" t="inlineStr">
        <x:is>
          <x:t xml:space="preserve">https://stcbank.com.sa/en/web/guest/w/blt-cash</x:t>
        </x:is>
      </x:c>
      <x:c r="O23" s="4"/>
      <x:c r="P23" s="4"/>
      <x:c r="Q23" s="63"/>
      <x:c r="R23" s="63"/>
      <x:c r="S23" s="4" t="inlineStr">
        <x:is>
          <x:t xml:space="preserve">Offer applies once per selected customer. Cash withdrawals and wallet/account top-ups are excluded; international purchases through supported e-wallets are eligible.</x:t>
        </x:is>
      </x:c>
      <x:c r="T23" s="5" t="n">
        <x:v>46240.0</x:v>
      </x:c>
      <x:c r="U23" s="35" t="str">
        <x:f t="shared" si="3">IF(C23="","",IF(COUNTA(O23:R23)=0,"No direct social post verified",IF(O23&lt;&gt;"","Instagram","")&amp;IF(AND(O23&lt;&gt;"",OR(P23&lt;&gt;"",Q23&lt;&gt;"",R23&lt;&gt;"")),", ","")&amp;IF(P23&lt;&gt;"","X","")&amp;IF(AND(P23&lt;&gt;"",OR(Q23&lt;&gt;"",R23&lt;&gt;"")),", ","")&amp;IF(Q23&lt;&gt;"","Facebook","")&amp;IF(AND(Q23&lt;&gt;"",R23&lt;&gt;""),", ","")&amp;IF(R23&lt;&gt;"","TikTok","")))</x:f>
        <x:v>Instagram, X, Facebook, TikTok</x:v>
      </x:c>
    </x:row>
    <x:row r="24" ht="46.650001525878906" customHeight="1">
      <x:c r="A24" s="8" t="n">
        <x:f t="shared" si="0">IF(C24="","",ROW()-8)</x:f>
        <x:v>16</x:v>
      </x:c>
      <x:c r="B24" s="4"/>
      <x:c r="C24" s="4"/>
      <x:c r="D24" s="4"/>
      <x:c r="E24" s="5"/>
      <x:c r="F24" s="5"/>
      <x:c r="G24" s="5"/>
      <x:c r="H24" s="7" t="n">
        <x:f t="shared" si="1">IF(OR(C24="",G24=""),"",G24-TODAY())</x:f>
        <x:v>57</x:v>
      </x:c>
      <x:c r="I24" s="6" t="str">
        <x:f t="shared" si="2">IF(C24="","",IF(G24="","End Date Not Stated",IF(G24&lt;TODAY(),"Expired",IF(G24&lt;=TODAY()+7,"Expiring ≤7 Days",IF(G24&lt;=TODAY()+30,"Expiring 8–30 Days","Active")))))</x:f>
        <x:v>Active</x:v>
      </x:c>
      <x:c r="J24" s="4"/>
      <x:c r="K24" s="4"/>
      <x:c r="L24" s="4"/>
      <x:c r="M24" s="9" t="str">
        <x:f t="shared" si="4">IF(C24="","",IF(N24&lt;&gt;"",N24,IF(O24&lt;&gt;"",O24,IF(P24&lt;&gt;"",P24,IF(Q24&lt;&gt;"",Q24,IF(R24&lt;&gt;"",R24,""))))))</x:f>
        <x:v>https://stcbank.com.sa/en/web/guest/w/blt-cash</x:v>
      </x:c>
      <x:c r="N24" s="4"/>
      <x:c r="O24" s="4"/>
      <x:c r="P24" s="4"/>
      <x:c r="Q24" s="4"/>
      <x:c r="R24" s="4"/>
      <x:c r="S24" s="4"/>
      <x:c r="T24" s="5"/>
      <x:c r="U24" s="35" t="str">
        <x:f t="shared" si="3">IF(C24="","",IF(COUNTA(O24:R24)=0,"No direct social post verified",IF(O24&lt;&gt;"","Instagram","")&amp;IF(AND(O24&lt;&gt;"",OR(P24&lt;&gt;"",Q24&lt;&gt;"",R24&lt;&gt;"")),", ","")&amp;IF(P24&lt;&gt;"","X","")&amp;IF(AND(P24&lt;&gt;"",OR(Q24&lt;&gt;"",R24&lt;&gt;"")),", ","")&amp;IF(Q24&lt;&gt;"","Facebook","")&amp;IF(AND(Q24&lt;&gt;"",R24&lt;&gt;""),", ","")&amp;IF(R24&lt;&gt;"","TikTok","")))</x:f>
        <x:v>No direct social post verified</x:v>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4"/>
      </x:c>
      <x:c r="N25" s="4"/>
      <x:c r="O25" s="4"/>
      <x:c r="P25" s="4"/>
      <x:c r="Q25" s="4"/>
      <x:c r="R25" s="4"/>
      <x:c r="S25" s="4"/>
      <x:c r="T25" s="5"/>
      <x:c r="U25" s="35" t="str">
        <x:f t="shared" si="3"/>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4"/>
      </x:c>
      <x:c r="N26" s="4"/>
      <x:c r="O26" s="4"/>
      <x:c r="P26" s="4"/>
      <x:c r="Q26" s="4"/>
      <x:c r="R26" s="4"/>
      <x:c r="S26" s="4"/>
      <x:c r="T26" s="5"/>
      <x:c r="U26" s="35" t="str">
        <x:f t="shared" si="3"/>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4"/>
      </x:c>
      <x:c r="N27" s="4"/>
      <x:c r="O27" s="4"/>
      <x:c r="P27" s="4"/>
      <x:c r="Q27" s="4"/>
      <x:c r="R27" s="4"/>
      <x:c r="S27" s="4"/>
      <x:c r="T27" s="5"/>
      <x:c r="U27" s="35" t="str">
        <x:f t="shared" si="3"/>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4"/>
      </x:c>
      <x:c r="N28" s="4"/>
      <x:c r="O28" s="4"/>
      <x:c r="P28" s="4"/>
      <x:c r="Q28" s="4"/>
      <x:c r="R28" s="4"/>
      <x:c r="S28" s="4"/>
      <x:c r="T28" s="5"/>
      <x:c r="U28" s="35" t="str">
        <x:f t="shared" si="3"/>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4"/>
      </x:c>
      <x:c r="N29" s="4"/>
      <x:c r="O29" s="4"/>
      <x:c r="P29" s="4"/>
      <x:c r="Q29" s="4"/>
      <x:c r="R29" s="4"/>
      <x:c r="S29" s="4"/>
      <x:c r="T29" s="5"/>
      <x:c r="U29" s="35" t="str">
        <x:f t="shared" si="3"/>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4"/>
      </x:c>
      <x:c r="N30" s="4"/>
      <x:c r="O30" s="4"/>
      <x:c r="P30" s="4"/>
      <x:c r="Q30" s="4"/>
      <x:c r="R30" s="4"/>
      <x:c r="S30" s="4"/>
      <x:c r="T30" s="5"/>
      <x:c r="U30" s="35" t="str">
        <x:f t="shared" si="3"/>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4"/>
      </x:c>
      <x:c r="N31" s="4"/>
      <x:c r="O31" s="4"/>
      <x:c r="P31" s="4"/>
      <x:c r="Q31" s="4"/>
      <x:c r="R31" s="4"/>
      <x:c r="S31" s="4"/>
      <x:c r="T31" s="5"/>
      <x:c r="U31" s="35" t="str">
        <x:f t="shared" si="3"/>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4"/>
      </x:c>
      <x:c r="N32" s="4"/>
      <x:c r="O32" s="4"/>
      <x:c r="P32" s="4"/>
      <x:c r="Q32" s="4"/>
      <x:c r="R32" s="4"/>
      <x:c r="S32" s="4"/>
      <x:c r="T32" s="5"/>
      <x:c r="U32" s="35" t="str">
        <x:f t="shared" si="3"/>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4"/>
      </x:c>
      <x:c r="N33" s="4"/>
      <x:c r="O33" s="4"/>
      <x:c r="P33" s="4"/>
      <x:c r="Q33" s="4"/>
      <x:c r="R33" s="4"/>
      <x:c r="S33" s="4"/>
      <x:c r="T33" s="5"/>
      <x:c r="U33" s="35" t="str">
        <x:f t="shared" si="3"/>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4"/>
      </x:c>
      <x:c r="N34" s="4"/>
      <x:c r="O34" s="4"/>
      <x:c r="P34" s="4"/>
      <x:c r="Q34" s="4"/>
      <x:c r="R34" s="4"/>
      <x:c r="S34" s="4"/>
      <x:c r="T34" s="5"/>
      <x:c r="U34" s="35" t="str">
        <x:f t="shared" si="3"/>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4"/>
      </x:c>
      <x:c r="N35" s="4"/>
      <x:c r="O35" s="4"/>
      <x:c r="P35" s="4"/>
      <x:c r="Q35" s="4"/>
      <x:c r="R35" s="4"/>
      <x:c r="S35" s="4"/>
      <x:c r="T35" s="5"/>
      <x:c r="U35" s="35" t="str">
        <x:f t="shared" si="3"/>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4"/>
      </x:c>
      <x:c r="N36" s="4"/>
      <x:c r="O36" s="4"/>
      <x:c r="P36" s="4"/>
      <x:c r="Q36" s="4"/>
      <x:c r="R36" s="4"/>
      <x:c r="S36" s="4"/>
      <x:c r="T36" s="5"/>
      <x:c r="U36" s="35" t="str">
        <x:f t="shared" si="3"/>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4"/>
      </x:c>
      <x:c r="N37" s="4"/>
      <x:c r="O37" s="4"/>
      <x:c r="P37" s="4"/>
      <x:c r="Q37" s="4"/>
      <x:c r="R37" s="4"/>
      <x:c r="S37" s="4"/>
      <x:c r="T37" s="5"/>
      <x:c r="U37" s="35" t="str">
        <x:f t="shared" si="3"/>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4"/>
      </x:c>
      <x:c r="N38" s="4"/>
      <x:c r="O38" s="4"/>
      <x:c r="P38" s="4"/>
      <x:c r="Q38" s="4"/>
      <x:c r="R38" s="4"/>
      <x:c r="S38" s="4"/>
      <x:c r="T38" s="5"/>
      <x:c r="U38" s="35" t="str">
        <x:f t="shared" si="3"/>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4"/>
      </x:c>
      <x:c r="N39" s="4"/>
      <x:c r="O39" s="4"/>
      <x:c r="P39" s="4"/>
      <x:c r="Q39" s="4"/>
      <x:c r="R39" s="4"/>
      <x:c r="S39" s="4"/>
      <x:c r="T39" s="5"/>
      <x:c r="U39" s="35" t="str">
        <x:f t="shared" si="3"/>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4"/>
      </x:c>
      <x:c r="N40" s="4"/>
      <x:c r="O40" s="4"/>
      <x:c r="P40" s="4"/>
      <x:c r="Q40" s="4"/>
      <x:c r="R40" s="4"/>
      <x:c r="S40" s="4"/>
      <x:c r="T40" s="5"/>
      <x:c r="U40" s="35" t="str">
        <x:f t="shared" si="3"/>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4"/>
      </x:c>
      <x:c r="N41" s="4"/>
      <x:c r="O41" s="4"/>
      <x:c r="P41" s="4"/>
      <x:c r="Q41" s="4"/>
      <x:c r="R41" s="4"/>
      <x:c r="S41" s="4"/>
      <x:c r="T41" s="5"/>
      <x:c r="U41" s="35" t="str">
        <x:f t="shared" si="3"/>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4"/>
      </x:c>
      <x:c r="N42" s="4"/>
      <x:c r="O42" s="4"/>
      <x:c r="P42" s="4"/>
      <x:c r="Q42" s="4"/>
      <x:c r="R42" s="4"/>
      <x:c r="S42" s="4"/>
      <x:c r="T42" s="5"/>
      <x:c r="U42" s="35" t="str">
        <x:f t="shared" si="3"/>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4"/>
      </x:c>
      <x:c r="N43" s="4"/>
      <x:c r="O43" s="4"/>
      <x:c r="P43" s="4"/>
      <x:c r="Q43" s="4"/>
      <x:c r="R43" s="4"/>
      <x:c r="S43" s="4"/>
      <x:c r="T43" s="5"/>
      <x:c r="U43" s="35" t="str">
        <x:f t="shared" si="3"/>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4"/>
      </x:c>
      <x:c r="N44" s="4"/>
      <x:c r="O44" s="4"/>
      <x:c r="P44" s="4"/>
      <x:c r="Q44" s="4"/>
      <x:c r="R44" s="4"/>
      <x:c r="S44" s="4"/>
      <x:c r="T44" s="5"/>
      <x:c r="U44" s="35" t="str">
        <x:f t="shared" si="3"/>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4"/>
      </x:c>
      <x:c r="N45" s="4"/>
      <x:c r="O45" s="4"/>
      <x:c r="P45" s="4"/>
      <x:c r="Q45" s="4"/>
      <x:c r="R45" s="4"/>
      <x:c r="S45" s="4"/>
      <x:c r="T45" s="5"/>
      <x:c r="U45" s="35" t="str">
        <x:f t="shared" si="3"/>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4"/>
      </x:c>
      <x:c r="N46" s="4"/>
      <x:c r="O46" s="4"/>
      <x:c r="P46" s="4"/>
      <x:c r="Q46" s="4"/>
      <x:c r="R46" s="4"/>
      <x:c r="S46" s="4"/>
      <x:c r="T46" s="5"/>
      <x:c r="U46" s="35" t="str">
        <x:f t="shared" si="3"/>
      </x:c>
    </x:row>
    <x:row r="47" ht="46.650001525878906" customHeight="1">
      <x:c r="A47" s="8" t="str">
        <x:f t="shared" si="0"/>
      </x:c>
      <x:c r="B47" s="4"/>
      <x:c r="C47" s="4"/>
      <x:c r="D47" s="4"/>
      <x:c r="E47" s="5"/>
      <x:c r="F47" s="5"/>
      <x:c r="G47" s="5"/>
      <x:c r="H47" s="7" t="str">
        <x:f t="shared" si="1"/>
      </x:c>
      <x:c r="I47" s="6" t="str">
        <x:f t="shared" si="2"/>
      </x:c>
      <x:c r="J47" s="4"/>
      <x:c r="K47" s="4"/>
      <x:c r="L47" s="4"/>
      <x:c r="M47" s="9" t="str">
        <x:f t="shared" si="4"/>
      </x:c>
      <x:c r="N47" s="4"/>
      <x:c r="O47" s="4"/>
      <x:c r="P47" s="4"/>
      <x:c r="Q47" s="4"/>
      <x:c r="R47" s="4"/>
      <x:c r="S47" s="4"/>
      <x:c r="T47" s="5"/>
      <x:c r="U47" s="35" t="str">
        <x:f t="shared" si="3"/>
      </x:c>
    </x:row>
    <x:row r="48" ht="46.650001525878906" customHeight="1">
      <x:c r="A48" s="8" t="str">
        <x:f t="shared" si="0"/>
      </x:c>
      <x:c r="B48" s="4"/>
      <x:c r="C48" s="4"/>
      <x:c r="D48" s="4"/>
      <x:c r="E48" s="5"/>
      <x:c r="F48" s="5"/>
      <x:c r="G48" s="5"/>
      <x:c r="H48" s="7" t="str">
        <x:f t="shared" si="1"/>
      </x:c>
      <x:c r="I48" s="6" t="str">
        <x:f t="shared" si="2"/>
      </x:c>
      <x:c r="J48" s="4"/>
      <x:c r="K48" s="4"/>
      <x:c r="L48" s="4"/>
      <x:c r="M48" s="9" t="str">
        <x:f t="shared" si="4"/>
      </x:c>
      <x:c r="N48" s="4"/>
      <x:c r="O48" s="4"/>
      <x:c r="P48" s="4"/>
      <x:c r="Q48" s="4"/>
      <x:c r="R48" s="4"/>
      <x:c r="S48" s="4"/>
      <x:c r="T48" s="5"/>
      <x:c r="U48" s="35" t="str">
        <x:f t="shared" si="3"/>
      </x:c>
    </x:row>
    <x:row r="49" ht="46.650001525878906" customHeight="1">
      <x:c r="A49" s="8" t="str">
        <x:f t="shared" si="0"/>
      </x:c>
      <x:c r="B49" s="4"/>
      <x:c r="C49" s="4"/>
      <x:c r="D49" s="4"/>
      <x:c r="E49" s="5"/>
      <x:c r="F49" s="5"/>
      <x:c r="G49" s="5"/>
      <x:c r="H49" s="7" t="str">
        <x:f t="shared" si="1"/>
      </x:c>
      <x:c r="I49" s="6" t="str">
        <x:f t="shared" si="2"/>
      </x:c>
      <x:c r="J49" s="4"/>
      <x:c r="K49" s="4"/>
      <x:c r="L49" s="4"/>
      <x:c r="M49" s="9" t="str">
        <x:f t="shared" si="4"/>
      </x:c>
      <x:c r="N49" s="4"/>
      <x:c r="O49" s="4"/>
      <x:c r="P49" s="4"/>
      <x:c r="Q49" s="4"/>
      <x:c r="R49" s="4"/>
      <x:c r="S49" s="4"/>
      <x:c r="T49" s="5"/>
      <x:c r="U49" s="35" t="str">
        <x:f t="shared" si="3"/>
      </x:c>
    </x:row>
    <x:row r="50" ht="46.650001525878906" customHeight="1">
      <x:c r="A50" s="8" t="str">
        <x:f t="shared" si="0"/>
      </x:c>
      <x:c r="B50" s="4"/>
      <x:c r="C50" s="4"/>
      <x:c r="D50" s="4"/>
      <x:c r="E50" s="5"/>
      <x:c r="F50" s="5"/>
      <x:c r="G50" s="5"/>
      <x:c r="H50" s="7" t="str">
        <x:f t="shared" si="1"/>
      </x:c>
      <x:c r="I50" s="6" t="str">
        <x:f t="shared" si="2"/>
      </x:c>
      <x:c r="J50" s="4"/>
      <x:c r="K50" s="4"/>
      <x:c r="L50" s="4"/>
      <x:c r="M50" s="9" t="str">
        <x:f t="shared" si="4"/>
      </x:c>
      <x:c r="N50" s="4"/>
      <x:c r="O50" s="4"/>
      <x:c r="P50" s="4"/>
      <x:c r="Q50" s="4"/>
      <x:c r="R50" s="4"/>
      <x:c r="S50" s="4"/>
      <x:c r="T50" s="5"/>
      <x:c r="U50" s="35" t="str">
        <x:f t="shared" si="3"/>
      </x:c>
    </x:row>
    <x:row r="51" ht="46.650001525878906" customHeight="1">
      <x:c r="A51" s="8" t="str">
        <x:f t="shared" si="0"/>
      </x:c>
      <x:c r="B51" s="4"/>
      <x:c r="C51" s="4"/>
      <x:c r="D51" s="4"/>
      <x:c r="E51" s="5"/>
      <x:c r="F51" s="5"/>
      <x:c r="G51" s="5"/>
      <x:c r="H51" s="7" t="str">
        <x:f t="shared" si="1"/>
      </x:c>
      <x:c r="I51" s="6" t="str">
        <x:f t="shared" si="2"/>
      </x:c>
      <x:c r="J51" s="4"/>
      <x:c r="K51" s="4"/>
      <x:c r="L51" s="4"/>
      <x:c r="M51" s="9" t="str">
        <x:f t="shared" si="4"/>
      </x:c>
      <x:c r="N51" s="4"/>
      <x:c r="O51" s="4"/>
      <x:c r="P51" s="4"/>
      <x:c r="Q51" s="4"/>
      <x:c r="R51" s="4"/>
      <x:c r="S51" s="4"/>
      <x:c r="T51" s="5"/>
      <x:c r="U51" s="35" t="str">
        <x:f t="shared" si="3"/>
      </x:c>
    </x:row>
    <x:row r="52" ht="46.650001525878906" customHeight="1">
      <x:c r="A52" s="8" t="str">
        <x:f t="shared" si="0"/>
      </x:c>
      <x:c r="B52" s="4"/>
      <x:c r="C52" s="4"/>
      <x:c r="D52" s="4"/>
      <x:c r="E52" s="5"/>
      <x:c r="F52" s="5"/>
      <x:c r="G52" s="5"/>
      <x:c r="H52" s="7" t="str">
        <x:f t="shared" si="1"/>
      </x:c>
      <x:c r="I52" s="6" t="str">
        <x:f t="shared" si="2"/>
      </x:c>
      <x:c r="J52" s="4"/>
      <x:c r="K52" s="4"/>
      <x:c r="L52" s="4"/>
      <x:c r="M52" s="9" t="str">
        <x:f t="shared" si="4"/>
      </x:c>
      <x:c r="N52" s="4"/>
      <x:c r="O52" s="4"/>
      <x:c r="P52" s="4"/>
      <x:c r="Q52" s="4"/>
      <x:c r="R52" s="4"/>
      <x:c r="S52" s="4"/>
      <x:c r="T52" s="5"/>
      <x:c r="U52" s="35" t="str">
        <x:f t="shared" si="3"/>
      </x:c>
    </x:row>
    <x:row r="53" ht="46.650001525878906" customHeight="1">
      <x:c r="A53" s="8" t="str">
        <x:f t="shared" si="0"/>
      </x:c>
      <x:c r="B53" s="4"/>
      <x:c r="C53" s="4"/>
      <x:c r="D53" s="4"/>
      <x:c r="E53" s="5"/>
      <x:c r="F53" s="5"/>
      <x:c r="G53" s="5"/>
      <x:c r="H53" s="7" t="str">
        <x:f t="shared" si="1"/>
      </x:c>
      <x:c r="I53" s="6" t="str">
        <x:f t="shared" si="2"/>
      </x:c>
      <x:c r="J53" s="4"/>
      <x:c r="K53" s="4"/>
      <x:c r="L53" s="4"/>
      <x:c r="M53" s="9" t="str">
        <x:f t="shared" si="4"/>
      </x:c>
      <x:c r="N53" s="4"/>
      <x:c r="O53" s="4"/>
      <x:c r="P53" s="4"/>
      <x:c r="Q53" s="4"/>
      <x:c r="R53" s="4"/>
      <x:c r="S53" s="4"/>
      <x:c r="T53" s="5"/>
      <x:c r="U53"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53">
    <x:cfRule type="expression" dxfId="90" priority="6">
      <x:formula>AND($C9&lt;&gt;"",$M9="")</x:formula>
    </x:cfRule>
  </x:conditionalFormatting>
  <x:conditionalFormatting sqref="A9:T500">
    <x:cfRule type="expression" dxfId="89" priority="7">
      <x:formula>$B9="Merchant"</x:formula>
    </x:cfRule>
    <x:cfRule type="expression" dxfId="88" priority="8">
      <x:formula>$B9="Remittance"</x:formula>
    </x:cfRule>
    <x:cfRule type="expression" dxfId="87" priority="15">
      <x:formula>AND($C9&lt;&gt;"",$M9="")</x:formula>
    </x:cfRule>
  </x:conditionalFormatting>
  <x:conditionalFormatting sqref="B9:B500">
    <x:cfRule type="expression" dxfId="86" priority="9">
      <x:formula>B9="Remittance"</x:formula>
    </x:cfRule>
  </x:conditionalFormatting>
  <x:conditionalFormatting sqref="I9:I53">
    <x:cfRule type="expression" dxfId="85" priority="1">
      <x:formula>I9="Active"</x:formula>
    </x:cfRule>
    <x:cfRule type="expression" dxfId="84" priority="2">
      <x:formula>I9="End Date Not Stated"</x:formula>
    </x:cfRule>
    <x:cfRule type="expression" dxfId="83" priority="3">
      <x:formula>I9="Expiring ≤7 Days"</x:formula>
    </x:cfRule>
    <x:cfRule type="expression" dxfId="82" priority="4">
      <x:formula>I9="Expiring 8–30 Days"</x:formula>
    </x:cfRule>
    <x:cfRule type="expression" dxfId="81" priority="5">
      <x:formula>I9="Expired"</x:formula>
    </x:cfRule>
  </x:conditionalFormatting>
  <x:conditionalFormatting sqref="I9:I500">
    <x:cfRule type="expression" dxfId="80" priority="10">
      <x:formula>I9="Active"</x:formula>
    </x:cfRule>
    <x:cfRule type="expression" dxfId="79" priority="11">
      <x:formula>I9="End Date Not Stated"</x:formula>
    </x:cfRule>
    <x:cfRule type="expression" dxfId="78" priority="12">
      <x:formula>I9="Expiring ≤7 Days"</x:formula>
    </x:cfRule>
    <x:cfRule type="expression" dxfId="77" priority="13">
      <x:formula>I9="Expiring 8–30 Days"</x:formula>
    </x:cfRule>
    <x:cfRule type="expression" dxfId="76" priority="14">
      <x:formula>I9="Expired"</x:formula>
    </x:cfRule>
  </x:conditionalFormatting>
  <x:conditionalFormatting sqref="U9:U53">
    <x:cfRule type="expression" dxfId="75"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7b570c03836c4987"/>
  </x:tableParts>
</x:worksheet>
</file>

<file path=xl/worksheets/sheet3.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167</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COUNTIFS(barq!$C$9:$C$499,"&lt;&gt;",barq!$M$9:$M$499,"&lt;&gt;",barq!$B$9:$B$499,"&lt;&gt;Merchant")</x:f>
        <x:v>5</x:v>
      </x:c>
      <x:c r="B5" s="53"/>
      <x:c r="C5" s="53"/>
      <x:c r="D5" s="53"/>
      <x:c r="E5" s="53" t="n">
        <x:f>COUNTIFS(barq!$C$9:$C$499,"&lt;&gt;",barq!$M$9:$M$499,"&lt;&gt;",barq!$B$9:$B$499,"&lt;&gt;Merchant",barq!$I$9:$I$499,"&lt;&gt;Expired")</x:f>
        <x:v>5</x:v>
      </x:c>
      <x:c r="F5" s="53"/>
      <x:c r="G5" s="53"/>
      <x:c r="H5" s="53"/>
      <x:c r="I5" s="54" t="n">
        <x:f>COUNTIFS(barq!$C$9:$C$499,"&lt;&gt;",barq!$M$9:$M$499,"&lt;&gt;",barq!$B$9:$B$499,"&lt;&gt;Merchant",barq!$I$9:$I$499,"&lt;&gt;Expired",barq!$B$9:$B$499,"Remittance")</x:f>
        <x:v>2</x:v>
      </x:c>
      <x:c r="J5" s="54"/>
      <x:c r="K5" s="54"/>
      <x:c r="L5" s="54"/>
      <x:c r="M5" s="55" t="n">
        <x:f>COUNTIFS(barq!$C$9:$C$499,"&lt;&gt;",barq!$M$9:$M$499,"&lt;&gt;",barq!$B$9:$B$499,"Merchant",barq!$I$9:$I$499,"&lt;&gt;Expired")</x:f>
        <x:v>1</x:v>
      </x:c>
      <x:c r="N5" s="55"/>
      <x:c r="O5" s="55"/>
      <x:c r="P5" s="55"/>
      <x:c r="Q5" s="53" t="n">
        <x:f>COUNTIFS(barq!$C$9:$C$499,"&lt;&gt;",barq!$M$9:$M$499,"&lt;&gt;",barq!$B$9:$B$499,"&lt;&gt;Merchant",barq!$I$9:$I$499,"Expiring ≤7 Days")+COUNTIFS(barq!$C$9:$C$499,"&lt;&gt;",barq!$M$9:$M$499,"&lt;&gt;",barq!$B$9:$B$499,"&lt;&gt;Merchant",barq!$I$9:$I$499,"Expiring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Engagement</x:t>
        </x:is>
      </x:c>
      <x:c r="C9" s="4" t="inlineStr">
        <x:is>
          <x:t xml:space="preserve">barq Marathon</x:t>
        </x:is>
      </x:c>
      <x:c r="D9" s="4" t="inlineStr">
        <x:is>
          <x:t xml:space="preserve">Transaction-based points and competition with a large prize pool and winner base.</x:t>
        </x:is>
      </x:c>
      <x:c r="E9" s="5"/>
      <x:c r="F9" s="5" t="n">
        <x:v>46166.0</x:v>
      </x:c>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Card usage and in-app engagement</x:t>
        </x:is>
      </x:c>
      <x:c r="K9" s="4" t="inlineStr">
        <x:is>
          <x:t xml:space="preserve">Prize pool increased to SAR 500,000 and 20,000 winners</x:t>
        </x:is>
      </x:c>
      <x:c r="L9" s="4" t="inlineStr">
        <x:is>
          <x:t xml:space="preserve">barq Visa customers</x:t>
        </x:is>
      </x:c>
      <x:c r="M9" s="9" t="str">
        <x:f>IF(C9="","",IF(N9&lt;&gt;"",N9,IF(O9&lt;&gt;"",O9,IF(P9&lt;&gt;"",P9,IF(Q9&lt;&gt;"",Q9,IF(R9&lt;&gt;"",R9,""))))))</x:f>
        <x:v>https://www.instagram.com/reel/DYxvJOWiZY5/</x:v>
      </x:c>
      <x:c r="N9" s="4" t="inlineStr">
        <x:is>
          <x:t xml:space="preserve">https://barq.com/ar/offers/%d8%ad%d9%85%d9%84%d8%a9-%d8%a7%d9%84%d8%b5%d9%8a%d9%81/</x:t>
        </x:is>
      </x:c>
      <x:c r="O9" s="63" t="inlineStr">
        <x:is>
          <x:t xml:space="preserve">https://www.instagram.com/reel/DYxvJOWiZY5/</x:t>
        </x:is>
      </x:c>
      <x:c r="P9" s="4"/>
      <x:c r="Q9" s="63" t="inlineStr">
        <x:is>
          <x:t xml:space="preserve">https://www.facebook.com/share/p/1BbFALsFYP/</x:t>
        </x:is>
      </x:c>
      <x:c r="R9" s="4"/>
      <x:c r="S9" s="4" t="inlineStr">
        <x:is>
          <x:t xml:space="preserve">Campaign end date is not stated in the official post.</x:t>
        </x:is>
      </x:c>
      <x:c r="T9" s="5" t="n">
        <x:v>46240.0</x:v>
      </x:c>
      <x:c r="U9" s="35" t="str">
        <x:f t="shared" ref="U9:U42" si="3">IF(C9="","",IF(COUNTA(O9:R9)=0,"No direct social post verified",IF(O9&lt;&gt;"","Instagram","")&amp;IF(AND(O9&lt;&gt;"",OR(P9&lt;&gt;"",Q9&lt;&gt;"",R9&lt;&gt;"")),", ","")&amp;IF(P9&lt;&gt;"","X","")&amp;IF(AND(P9&lt;&gt;"",OR(Q9&lt;&gt;"",R9&lt;&gt;"")),", ","")&amp;IF(Q9&lt;&gt;"","Facebook","")&amp;IF(AND(Q9&lt;&gt;"",R9&lt;&gt;""),", ","")&amp;IF(R9&lt;&gt;"","TikTok","")))</x:f>
        <x:v>Instagram, Facebook</x:v>
      </x:c>
    </x:row>
    <x:row r="10" ht="46.650001525878906" customHeight="1">
      <x:c r="A10" s="8" t="n">
        <x:f t="shared" si="0">IF(C10="","",ROW()-8)</x:f>
        <x:v>2</x:v>
      </x:c>
      <x:c r="B10" s="4" t="inlineStr">
        <x:is>
          <x:t xml:space="preserve">Engagement</x:t>
        </x:is>
      </x:c>
      <x:c r="C10" s="4" t="inlineStr">
        <x:is>
          <x:t xml:space="preserve">Prediction Game</x:t>
        </x:is>
      </x:c>
      <x:c r="D10" s="4" t="inlineStr">
        <x:is>
          <x:t xml:space="preserve">In-app match prediction game with a prize pool of up to SAR 500,000.</x:t>
        </x:is>
      </x:c>
      <x:c r="E10" s="5"/>
      <x:c r="F10" s="5"/>
      <x:c r="G10" s="5"/>
      <x:c r="H10" s="7" t="str">
        <x:f t="shared" si="1">IF(OR(C10="",G10=""),"",G10-TODAY())</x:f>
      </x:c>
      <x:c r="I10" s="6" t="str">
        <x:f t="shared" si="2">IF(C10="","",IF(G10="","End Date Not Stated",IF(G10&lt;TODAY(),"Expired",IF(G10&lt;=TODAY()+7,"Expiring ≤7 Days",IF(G10&lt;=TODAY()+30,"Expiring 8–30 Days","Active")))))</x:f>
        <x:v>End Date Not Stated</x:v>
      </x:c>
      <x:c r="J10" s="4" t="inlineStr">
        <x:is>
          <x:t xml:space="preserve">In-app sports engagement</x:t>
        </x:is>
      </x:c>
      <x:c r="K10" s="4" t="inlineStr">
        <x:is>
          <x:t xml:space="preserve">Prediction game with prizes worth up to SAR 500,000</x:t>
        </x:is>
      </x:c>
      <x:c r="L10" s="4" t="inlineStr">
        <x:is>
          <x:t xml:space="preserve">barq app customers</x:t>
        </x:is>
      </x:c>
      <x:c r="M10" s="9" t="str">
        <x:f t="shared" ref="M10:M42" si="4">IF(C10="","",IF(N10&lt;&gt;"",N10,IF(O10&lt;&gt;"",O10,IF(P10&lt;&gt;"",P10,IF(Q10&lt;&gt;"",Q10,IF(R10&lt;&gt;"",R10,""))))))</x:f>
        <x:v>https://www.facebook.com/usebarq/posts/update-your-barq-app-and-join-the-prediction-game-win-your-share-of-prizes-worth/122197690844385166/</x:v>
      </x:c>
      <x:c r="N10" s="4" t="inlineStr">
        <x:is>
          <x:t xml:space="preserve">https://barq.com/ar/offers/%d9%85%d8%b3%d8%a7%d8%a8%d9%82%d8%a9-%d8%a7%d9%84%d8%aa%d9%88%d9%82%d8%b9%d8%a7%d8%aa/</x:t>
        </x:is>
      </x:c>
      <x:c r="O10" s="4"/>
      <x:c r="P10" s="4"/>
      <x:c r="Q10" s="63" t="inlineStr">
        <x:is>
          <x:t xml:space="preserve">https://www.facebook.com/usebarq/posts/update-your-barq-app-and-join-the-prediction-game-win-your-share-of-prizes-worth/122197690844385166/</x:t>
        </x:is>
      </x:c>
      <x:c r="R10" s="4"/>
      <x:c r="S10" s="4" t="inlineStr">
        <x:is>
          <x:t xml:space="preserve">Campaign end date is not stated in the official post.</x:t>
        </x:is>
      </x:c>
      <x:c r="T10" s="5" t="n">
        <x:v>46240.0</x:v>
      </x:c>
      <x:c r="U10" s="35" t="str">
        <x:f t="shared" si="3">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Merchant</x:t>
        </x:is>
      </x:c>
      <x:c r="C11" s="4" t="inlineStr">
        <x:is>
          <x:t xml:space="preserve">Almatar Travel Offer</x:t>
        </x:is>
      </x:c>
      <x:c r="D11" s="4" t="inlineStr">
        <x:is>
          <x:t xml:space="preserve">Discounts on international flights and hotels when paying with barq Visa.</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Flight and hotel bookings</x:t>
        </x:is>
      </x:c>
      <x:c r="K11" s="4" t="inlineStr">
        <x:is>
          <x:t xml:space="preserve">Up to 10% off international flights and 25% off hotels</x:t>
        </x:is>
      </x:c>
      <x:c r="L11" s="4" t="inlineStr">
        <x:is>
          <x:t xml:space="preserve">barq Visa customers</x:t>
        </x:is>
      </x:c>
      <x:c r="M11" s="9" t="str">
        <x:f t="shared" si="4">IF(C11="","",IF(N11&lt;&gt;"",N11,IF(O11&lt;&gt;"",O11,IF(P11&lt;&gt;"",P11,IF(Q11&lt;&gt;"",Q11,IF(R11&lt;&gt;"",R11,""))))))</x:f>
        <x:v>https://www.facebook.com/usebarq/posts/planning-a-trip-%EF%B8%8Fbook-through-almatarapp-with-your-barq-visa-and-get-up-to-10-of/122178668528385166/</x:v>
      </x:c>
      <x:c r="N11" s="4"/>
      <x:c r="O11" s="4"/>
      <x:c r="P11" s="4"/>
      <x:c r="Q11" s="63" t="inlineStr">
        <x:is>
          <x:t xml:space="preserve">https://www.facebook.com/usebarq/posts/planning-a-trip-%EF%B8%8Fbook-through-almatarapp-with-your-barq-visa-and-get-up-to-10-of/122178668528385166/</x:t>
        </x:is>
      </x:c>
      <x:c r="R11" s="4"/>
      <x:c r="S11" s="4" t="inlineStr">
        <x:is>
          <x:t xml:space="preserve">Campaign end date is not stated in the official post.</x:t>
        </x:is>
      </x:c>
      <x:c r="T11" s="5" t="n">
        <x:v>46240.0</x:v>
      </x:c>
      <x:c r="U11" s="35" t="str">
        <x:f t="shared" si="3">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Remittance</x:t>
        </x:is>
      </x:c>
      <x:c r="C12" s="4" t="inlineStr">
        <x:is>
          <x:t xml:space="preserve">Zero-Fee International Transfers</x:t>
        </x:is>
      </x:c>
      <x:c r="D12" s="4" t="inlineStr">
        <x:is>
          <x:t xml:space="preserve">Fee-free international transfers to selected destinations and payout channels.</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Zero transfer fees on eligible transfers</x:t>
        </x:is>
      </x:c>
      <x:c r="L12" s="4" t="inlineStr">
        <x:is>
          <x:t xml:space="preserve">barq customers; destination and payout-channel terms apply</x:t>
        </x:is>
      </x:c>
      <x:c r="M12" s="9" t="str">
        <x:f t="shared" si="4">IF(C12="","",IF(N12&lt;&gt;"",N12,IF(O12&lt;&gt;"",O12,IF(P12&lt;&gt;"",P12,IF(Q12&lt;&gt;"",Q12,IF(R12&lt;&gt;"",R12,""))))))</x:f>
        <x:v>https://www.instagram.com/p/Dazzjtdt1Jt/?utm_source=ig_web_button_share_sheet&amp;igsh=MzRlODBiNWFlZA==</x:v>
      </x:c>
      <x:c r="N12" s="4"/>
      <x:c r="O12" s="63" t="inlineStr">
        <x:is>
          <x:t xml:space="preserve">https://www.instagram.com/p/Dazzjtdt1Jt/?utm_source=ig_web_button_share_sheet&amp;igsh=MzRlODBiNWFlZA==</x:t>
        </x:is>
      </x:c>
      <x:c r="P12" s="4"/>
      <x:c r="Q12" s="63" t="inlineStr">
        <x:is>
          <x:t xml:space="preserve">https://www.facebook.com/usebarq/videos/barq-transfer-fast-and-free/1218272083516944/</x:t>
        </x:is>
      </x:c>
      <x:c r="R12" s="4"/>
      <x:c r="S12" s="4" t="inlineStr">
        <x:is>
          <x:t xml:space="preserve">Current official posts in early August continue to promote fast, fee-free international transfers. No campaign end date is stated.</x:t>
        </x:is>
      </x:c>
      <x:c r="T12" s="5" t="n">
        <x:v>46240.0</x:v>
      </x:c>
      <x:c r="U12" s="35" t="str">
        <x:f t="shared" si="3">IF(C12="","",IF(COUNTA(O12:R12)=0,"No direct social post verified",IF(O12&lt;&gt;"","Instagram","")&amp;IF(AND(O12&lt;&gt;"",OR(P12&lt;&gt;"",Q12&lt;&gt;"",R12&lt;&gt;"")),", ","")&amp;IF(P12&lt;&gt;"","X","")&amp;IF(AND(P12&lt;&gt;"",OR(Q12&lt;&gt;"",R12&lt;&gt;"")),", ","")&amp;IF(Q12&lt;&gt;"","Facebook","")&amp;IF(AND(Q12&lt;&gt;"",R12&lt;&gt;""),", ","")&amp;IF(R12&lt;&gt;"","TikTok","")))</x:f>
        <x:v>Instagram, Facebook</x:v>
      </x:c>
    </x:row>
    <x:row r="13" ht="46.650001525878906" customHeight="1">
      <x:c r="A13" s="8" t="n">
        <x:f t="shared" si="0">IF(C13="","",ROW()-8)</x:f>
        <x:v>5</x:v>
      </x:c>
      <x:c r="B13" s="4" t="inlineStr">
        <x:is>
          <x:t xml:space="preserve">Card</x:t>
        </x:is>
      </x:c>
      <x:c r="C13" s="4" t="inlineStr">
        <x:is>
          <x:t xml:space="preserve">Zero Travel Fees with barq Visa</x:t>
        </x:is>
      </x:c>
      <x:c r="D13" s="4" t="inlineStr">
        <x:is>
          <x:t xml:space="preserve">Use your barq card while travelling and barq covers the applicable travel fees.</x:t>
        </x:is>
      </x:c>
      <x:c r="E13" s="5"/>
      <x:c r="F13" s="5"/>
      <x:c r="G13" s="5"/>
      <x:c r="H13" s="7" t="str">
        <x:f t="shared" si="1">IF(OR(C13="",G13=""),"",G13-TODAY())</x:f>
      </x:c>
      <x:c r="I13" s="6" t="str">
        <x:f t="shared" si="2">IF(C13="","",IF(G13="","End Date Not Stated",IF(G13&lt;TODAY(),"Expired",IF(G13&lt;=TODAY()+7,"Expiring ≤7 Days",IF(G13&lt;=TODAY()+30,"Expiring 8–30 Days","Active")))))</x:f>
        <x:v>End Date Not Stated</x:v>
      </x:c>
      <x:c r="J13" s="4" t="inlineStr">
        <x:is>
          <x:t xml:space="preserve">International card spending / Travel card usage Mechanic / Offer: Travel-related card fees covered by barq Eligibility / Product: barq cardholders</x:t>
        </x:is>
      </x:c>
      <x:c r="K13" s="4"/>
      <x:c r="L13" s="4"/>
      <x:c r="M13" s="9" t="str">
        <x:f t="shared" si="4">IF(C13="","",IF(N13&lt;&gt;"",N13,IF(O13&lt;&gt;"",O13,IF(P13&lt;&gt;"",P13,IF(Q13&lt;&gt;"",Q13,IF(R13&lt;&gt;"",R13,""))))))</x:f>
        <x:v>https://www.instagram.com/p/DbAtiuQNGlf/</x:v>
      </x:c>
      <x:c r="N13" s="4"/>
      <x:c r="O13" s="63" t="inlineStr">
        <x:is>
          <x:t xml:space="preserve">https://www.instagram.com/p/DbAtiuQNGlf/</x:t>
        </x:is>
      </x:c>
      <x:c r="P13" s="63" t="inlineStr">
        <x:is>
          <x:t xml:space="preserve">https://x.com/barq/status/2078084305327206575</x:t>
        </x:is>
      </x:c>
      <x:c r="Q13" s="63" t="inlineStr">
        <x:is>
          <x:t xml:space="preserve">https://www.facebook.com/usebarq/videos/%D8%AD%D9%84%D8%A7%D8%AA-%D8%A7%D9%84%D8%B3%D9%81%D8%B1-%D8%A8%D8%A7%D9%84%D8%AA%D8%AC%D8%A7%D8%B1%D8%A8-%D9%88%D8%A8%D8%A8%D8%B7%D8%A7%D9%82%D8%A9-%D8%A8%D8%AF%D9%88%D9%86-%D8%B1%D8%B3%D9%88%D9%85-%D8%AF%D9%88%D9%84%D9%8A%D8%A9%EF%B8%8F/1051539764436915/</x:t>
        </x:is>
      </x:c>
      <x:c r="R13" s="63" t="inlineStr">
        <x:is>
          <x:t xml:space="preserve">https://www.tiktok.com/@barq/video/7666817781014252821?is_from_webapp=1&amp;sender_device=pc&amp;web_id=7646835061455799828</x:t>
        </x:is>
      </x:c>
      <x:c r="S13" s="4" t="inlineStr">
        <x:is>
          <x:t xml:space="preserve">Current official posts continue to position barq Visa as having no international transaction fees. No campaign end date is stated.</x:t>
        </x:is>
      </x:c>
      <x:c r="T13" s="5" t="n">
        <x:v>46240.0</x:v>
      </x:c>
      <x:c r="U13" s="35" t="str">
        <x:f t="shared" si="3">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t="inlineStr">
        <x:is>
          <x:t xml:space="preserve">Remittance</x:t>
        </x:is>
      </x:c>
      <x:c r="C14" s="4" t="inlineStr">
        <x:is>
          <x:t xml:space="preserve">FX Rate Awareness Campaign</x:t>
        </x:is>
      </x:c>
      <x:c r="D14" s="4"/>
      <x:c r="E14" s="5"/>
      <x:c r="F14" s="5"/>
      <x:c r="G14" s="5"/>
      <x:c r="H14" s="7" t="str">
        <x:f t="shared" si="1">IF(OR(C14="",G14=""),"",G14-TODAY())</x:f>
      </x:c>
      <x:c r="I14" s="6" t="str">
        <x:f t="shared" si="2">IF(C14="","",IF(G14="","End Date Not Stated",IF(G14&lt;TODAY(),"Expired",IF(G14&lt;=TODAY()+7,"Expiring ≤7 Days",IF(G14&lt;=TODAY()+30,"Expiring 8–30 Days","Active")))))</x:f>
        <x:v>End Date Not Stated</x:v>
      </x:c>
      <x:c r="J14" s="4" t="inlineStr">
        <x:is>
          <x:t xml:space="preserve">International transfers / FX rate awareness</x:t>
        </x:is>
      </x:c>
      <x:c r="K14" s="4" t="inlineStr">
        <x:is>
          <x:t xml:space="preserve">All barq customers using international transfers</x:t>
        </x:is>
      </x:c>
      <x:c r="L14" s="4" t="inlineStr">
        <x:is>
          <x:t xml:space="preserve">Educational campaign explaining exchange rates and how they affect the received amount in international transfers.</x:t>
        </x:is>
      </x:c>
      <x:c r="M14" s="9" t="str">
        <x:f t="shared" si="4">IF(C14="","",IF(N14&lt;&gt;"",N14,IF(O14&lt;&gt;"",O14,IF(P14&lt;&gt;"",P14,IF(Q14&lt;&gt;"",Q14,IF(R14&lt;&gt;"",R14,""))))))</x:f>
        <x:v>https://www.instagram.com/reel/DaaydiADUvg/?utm_source=ig_web_button_share_sheet&amp;igsh=MzRlODBiNWFlZA==</x:v>
      </x:c>
      <x:c r="N14" s="4"/>
      <x:c r="O14" s="63" t="inlineStr">
        <x:is>
          <x:t xml:space="preserve">https://www.instagram.com/reel/DaaydiADUvg/?utm_source=ig_web_button_share_sheet&amp;igsh=MzRlODBiNWFlZA==</x:t>
        </x:is>
      </x:c>
      <x:c r="P14" s="4"/>
      <x:c r="Q14" s="4"/>
      <x:c r="R14" s="4"/>
      <x:c r="S14" s="4"/>
      <x:c r="T14" s="5" t="n">
        <x:v>46240.0</x:v>
      </x:c>
      <x:c r="U14" s="35" t="str">
        <x:f t="shared" si="3">IF(C14="","",IF(COUNTA(O14:R14)=0,"No direct social post verified",IF(O14&lt;&gt;"","Instagram","")&amp;IF(AND(O14&lt;&gt;"",OR(P14&lt;&gt;"",Q14&lt;&gt;"",R14&lt;&gt;"")),", ","")&amp;IF(P14&lt;&gt;"","X","")&amp;IF(AND(P14&lt;&gt;"",OR(Q14&lt;&gt;"",R14&lt;&gt;"")),", ","")&amp;IF(Q14&lt;&gt;"","Facebook","")&amp;IF(AND(Q14&lt;&gt;"",R14&lt;&gt;""),", ","")&amp;IF(R14&lt;&gt;"","TikTok","")))</x:f>
        <x:v>Instagram</x:v>
      </x:c>
    </x:row>
    <x:row r="15" ht="46.650001525878906" customHeight="1">
      <x:c r="A15" s="8" t="str">
        <x:f t="shared" si="0"/>
      </x:c>
      <x:c r="B15" s="4" t="inlineStr">
        <x:is>
          <x:t xml:space="preserve">Merchant</x:t>
        </x:is>
      </x:c>
      <x:c r="C15" s="4" t="inlineStr">
        <x:is>
          <x:t xml:space="preserve">Beefbar offer</x:t>
        </x:is>
      </x:c>
      <x:c r="D15" s="4" t="inlineStr">
        <x:is>
          <x:t xml:space="preserve">Terms and Conditions By using this offer, you agree to the following terms and conditions.</x:t>
        </x:is>
      </x:c>
      <x:c r="E15" s="5"/>
      <x:c r="F15" s="5" t="n">
        <x:v>46054.0</x:v>
      </x:c>
      <x:c r="G15" s="5" t="n">
        <x:v>46234.0</x:v>
      </x:c>
      <x:c r="H15" s="7" t="str">
        <x:f t="shared" si="1"/>
      </x:c>
      <x:c r="I15" s="6" t="str">
        <x:f t="shared" si="2"/>
      </x:c>
      <x:c r="J15" s="4"/>
      <x:c r="K15" s="4"/>
      <x:c r="L15" s="4"/>
      <x:c r="M15" s="9" t="str">
        <x:f t="shared" si="4"/>
      </x:c>
      <x:c r="N15" s="4" t="inlineStr">
        <x:is>
          <x:t xml:space="preserve">https://barq.com/offers/beefbar/</x:t>
        </x:is>
      </x:c>
      <x:c r="O15" s="4"/>
      <x:c r="P15" s="4"/>
      <x:c r="Q15" s="4"/>
      <x:c r="R15" s="4"/>
      <x:c r="S15" s="4"/>
      <x:c r="T15" s="5" t="n">
        <x:v>46260.08078116647</x:v>
      </x:c>
      <x:c r="U15" s="35" t="str">
        <x:f t="shared" si="3"/>
      </x:c>
    </x:row>
    <x:row r="16" ht="46.650001525878906" customHeight="1">
      <x:c r="A16" s="8" t="str">
        <x:f t="shared" si="0"/>
      </x:c>
      <x:c r="B16" s="4" t="inlineStr">
        <x:is>
          <x:t xml:space="preserve">Merchant</x:t>
        </x:is>
      </x:c>
      <x:c r="C16" s="4" t="inlineStr">
        <x:is>
          <x:t xml:space="preserve">Boulangerie Moderne offer</x:t>
        </x:is>
      </x:c>
      <x:c r="D16" s="4" t="inlineStr">
        <x:is>
          <x:t xml:space="preserve">Terms and Conditions Offer • 10% Discount</x:t>
        </x:is>
      </x:c>
      <x:c r="E16" s="5"/>
      <x:c r="F16" s="5"/>
      <x:c r="G16" s="5"/>
      <x:c r="H16" s="7" t="str">
        <x:f t="shared" si="1"/>
      </x:c>
      <x:c r="I16" s="6" t="str">
        <x:f t="shared" si="2"/>
      </x:c>
      <x:c r="J16" s="4"/>
      <x:c r="K16" s="4"/>
      <x:c r="L16" s="4"/>
      <x:c r="M16" s="9" t="str">
        <x:f t="shared" si="4"/>
      </x:c>
      <x:c r="N16" s="4" t="inlineStr">
        <x:is>
          <x:t xml:space="preserve">https://barq.com/offers/boulangerie-moderne/</x:t>
        </x:is>
      </x:c>
      <x:c r="O16" s="4"/>
      <x:c r="P16" s="4"/>
      <x:c r="Q16" s="4"/>
      <x:c r="R16" s="4"/>
      <x:c r="S16" s="4"/>
      <x:c r="T16" s="5" t="n">
        <x:v>46260.08078116647</x:v>
      </x:c>
      <x:c r="U16" s="35" t="str">
        <x:f t="shared" si="3"/>
      </x:c>
    </x:row>
    <x:row r="17" ht="46.650001525878906" customHeight="1">
      <x:c r="A17" s="8" t="str">
        <x:f t="shared" si="0"/>
      </x:c>
      <x:c r="B17" s="4" t="inlineStr">
        <x:is>
          <x:t xml:space="preserve">Merchant</x:t>
        </x:is>
      </x:c>
      <x:c r="C17" s="4" t="inlineStr">
        <x:is>
          <x:t xml:space="preserve">Brunch and Cake offer</x:t>
        </x:is>
      </x:c>
      <x:c r="D17" s="4" t="inlineStr">
        <x:is>
          <x:t xml:space="preserve">Terms and Conditions Offer • 10% Discount</x:t>
        </x:is>
      </x:c>
      <x:c r="E17" s="5"/>
      <x:c r="F17" s="5"/>
      <x:c r="G17" s="5"/>
      <x:c r="H17" s="7" t="str">
        <x:f t="shared" si="1"/>
      </x:c>
      <x:c r="I17" s="6" t="str">
        <x:f t="shared" si="2"/>
      </x:c>
      <x:c r="J17" s="4"/>
      <x:c r="K17" s="4"/>
      <x:c r="L17" s="4"/>
      <x:c r="M17" s="9" t="str">
        <x:f t="shared" si="4"/>
      </x:c>
      <x:c r="N17" s="4" t="inlineStr">
        <x:is>
          <x:t xml:space="preserve">https://barq.com/offers/brunch-and-cake/</x:t>
        </x:is>
      </x:c>
      <x:c r="O17" s="4"/>
      <x:c r="P17" s="4"/>
      <x:c r="Q17" s="4"/>
      <x:c r="R17" s="4"/>
      <x:c r="S17" s="4"/>
      <x:c r="T17" s="5" t="n">
        <x:v>46260.08078116647</x:v>
      </x:c>
      <x:c r="U17" s="35" t="str">
        <x:f t="shared" si="3"/>
      </x:c>
    </x:row>
    <x:row r="18" ht="46.650001525878906" customHeight="1">
      <x:c r="A18" s="8" t="str">
        <x:f t="shared" si="0"/>
      </x:c>
      <x:c r="B18" s="4" t="inlineStr">
        <x:is>
          <x:t xml:space="preserve">Merchant</x:t>
        </x:is>
      </x:c>
      <x:c r="C18" s="4" t="inlineStr">
        <x:is>
          <x:t xml:space="preserve">Carrefour × barq Offer</x:t>
        </x:is>
      </x:c>
      <x:c r="D18" s="4" t="inlineStr">
        <x:is>
          <x:t xml:space="preserve">By using this offer, you acknowledge and agree to the following terms and conditions. To be eligible for this offer, customers must:</x:t>
        </x:is>
      </x:c>
      <x:c r="E18" s="5"/>
      <x:c r="F18" s="5" t="n">
        <x:v>46063.0</x:v>
      </x:c>
      <x:c r="G18" s="5" t="n">
        <x:v>46074.0</x:v>
      </x:c>
      <x:c r="H18" s="7" t="str">
        <x:f t="shared" si="1"/>
      </x:c>
      <x:c r="I18" s="6" t="str">
        <x:f t="shared" si="2"/>
      </x:c>
      <x:c r="J18" s="4"/>
      <x:c r="K18" s="4"/>
      <x:c r="L18" s="4"/>
      <x:c r="M18" s="9" t="str">
        <x:f t="shared" si="4"/>
      </x:c>
      <x:c r="N18" s="4" t="inlineStr">
        <x:is>
          <x:t xml:space="preserve">https://barq.com/offers/carrefour-x-barq/</x:t>
        </x:is>
      </x:c>
      <x:c r="O18" s="4"/>
      <x:c r="P18" s="4"/>
      <x:c r="Q18" s="4"/>
      <x:c r="R18" s="4"/>
      <x:c r="S18" s="4"/>
      <x:c r="T18" s="5" t="n">
        <x:v>46260.08078116647</x:v>
      </x:c>
      <x:c r="U18" s="35" t="str">
        <x:f t="shared" si="3"/>
      </x:c>
    </x:row>
    <x:row r="19" ht="46.650001525878906" customHeight="1">
      <x:c r="A19" s="8" t="str">
        <x:f t="shared" si="0"/>
      </x:c>
      <x:c r="B19" s="4" t="inlineStr">
        <x:is>
          <x:t xml:space="preserve">Merchant</x:t>
        </x:is>
      </x:c>
      <x:c r="C19" s="4" t="inlineStr">
        <x:is>
          <x:t xml:space="preserve">Crazy Pizza offer</x:t>
        </x:is>
      </x:c>
      <x:c r="D19" s="4" t="inlineStr">
        <x:is>
          <x:t xml:space="preserve">Terms and Conditions Offer • Enjoy a 20% discount at Crazy Pizza Tahlia, Oud Square, north yard and Khobar when paying with barq Visa cards.</x:t>
        </x:is>
      </x:c>
      <x:c r="E19" s="5"/>
      <x:c r="F19" s="5"/>
      <x:c r="G19" s="5"/>
      <x:c r="H19" s="7" t="str">
        <x:f t="shared" si="1"/>
      </x:c>
      <x:c r="I19" s="6" t="str">
        <x:f t="shared" si="2"/>
      </x:c>
      <x:c r="J19" s="4"/>
      <x:c r="K19" s="4"/>
      <x:c r="L19" s="4"/>
      <x:c r="M19" s="9" t="str">
        <x:f t="shared" si="4"/>
      </x:c>
      <x:c r="N19" s="4" t="inlineStr">
        <x:is>
          <x:t xml:space="preserve">https://barq.com/offers/crazy-pizza/</x:t>
        </x:is>
      </x:c>
      <x:c r="O19" s="4"/>
      <x:c r="P19" s="4"/>
      <x:c r="Q19" s="4"/>
      <x:c r="R19" s="4"/>
      <x:c r="S19" s="4"/>
      <x:c r="T19" s="5" t="n">
        <x:v>46260.08078116647</x:v>
      </x:c>
      <x:c r="U19" s="35" t="str">
        <x:f t="shared" si="3"/>
      </x:c>
    </x:row>
    <x:row r="20" ht="46.650001525878906" customHeight="1">
      <x:c r="A20" s="8" t="str">
        <x:f t="shared" si="0"/>
      </x:c>
      <x:c r="B20" s="4" t="inlineStr">
        <x:is>
          <x:t xml:space="preserve">Merchant</x:t>
        </x:is>
      </x:c>
      <x:c r="C20" s="4" t="inlineStr">
        <x:is>
          <x:t xml:space="preserve">Crimson Lounge offer</x:t>
        </x:is>
      </x:c>
      <x:c r="D20" s="4" t="inlineStr">
        <x:is>
          <x:t xml:space="preserve">Terms and Conditions • By using this offer, you agree to the following terms and conditions.</x:t>
        </x:is>
      </x:c>
      <x:c r="E20" s="5"/>
      <x:c r="F20" s="5"/>
      <x:c r="G20" s="5"/>
      <x:c r="H20" s="7" t="str">
        <x:f t="shared" si="1"/>
      </x:c>
      <x:c r="I20" s="6" t="str">
        <x:f t="shared" si="2"/>
      </x:c>
      <x:c r="J20" s="4"/>
      <x:c r="K20" s="4"/>
      <x:c r="L20" s="4"/>
      <x:c r="M20" s="9" t="str">
        <x:f t="shared" si="4"/>
      </x:c>
      <x:c r="N20" s="4" t="inlineStr">
        <x:is>
          <x:t xml:space="preserve">https://barq.com/offers/crimson-lounge/</x:t>
        </x:is>
      </x:c>
      <x:c r="O20" s="4"/>
      <x:c r="P20" s="4"/>
      <x:c r="Q20" s="4"/>
      <x:c r="R20" s="4"/>
      <x:c r="S20" s="4"/>
      <x:c r="T20" s="5" t="n">
        <x:v>46260.08078116647</x:v>
      </x:c>
      <x:c r="U20" s="35" t="str">
        <x:f t="shared" si="3"/>
      </x:c>
    </x:row>
    <x:row r="21" ht="46.650001525878906" customHeight="1">
      <x:c r="A21" s="8" t="str">
        <x:f t="shared" si="0"/>
      </x:c>
      <x:c r="B21" s="4" t="inlineStr">
        <x:is>
          <x:t xml:space="preserve">Merchant</x:t>
        </x:is>
      </x:c>
      <x:c r="C21" s="4" t="inlineStr">
        <x:is>
          <x:t xml:space="preserve">FARFETCH × barq عرض</x:t>
        </x:is>
      </x:c>
      <x:c r="D21" s="4" t="inlineStr">
        <x:is>
          <x:t xml:space="preserve">تقدم فيزا بالشراكة مع FARFTECH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21" s="5"/>
      <x:c r="F21" s="5" t="n">
        <x:v>46128.0</x:v>
      </x:c>
      <x:c r="G21" s="5" t="n">
        <x:v>46295.0</x:v>
      </x:c>
      <x:c r="H21" s="7" t="str">
        <x:f t="shared" si="1"/>
      </x:c>
      <x:c r="I21" s="6" t="str">
        <x:f t="shared" si="2"/>
      </x:c>
      <x:c r="J21" s="4"/>
      <x:c r="K21" s="4"/>
      <x:c r="L21" s="4"/>
      <x:c r="M21" s="9" t="str">
        <x:f t="shared" si="4"/>
      </x:c>
      <x:c r="N21" s="4" t="inlineStr">
        <x:is>
          <x:t xml:space="preserve">https://barq.com/ar/offers/farfetch-offer/</x:t>
        </x:is>
      </x:c>
      <x:c r="O21" s="4"/>
      <x:c r="P21" s="4"/>
      <x:c r="Q21" s="4"/>
      <x:c r="R21" s="4"/>
      <x:c r="S21" s="4"/>
      <x:c r="T21" s="5" t="n">
        <x:v>46259.875649202964</x:v>
      </x:c>
      <x:c r="U21" s="35" t="str">
        <x:f t="shared" si="3"/>
      </x:c>
    </x:row>
    <x:row r="22" ht="46.650001525878906" customHeight="1">
      <x:c r="A22" s="8" t="str">
        <x:f t="shared" si="0"/>
      </x:c>
      <x:c r="B22" s="4" t="inlineStr">
        <x:is>
          <x:t xml:space="preserve">Merchant</x:t>
        </x:is>
      </x:c>
      <x:c r="C22" s="4" t="inlineStr">
        <x:is>
          <x:t xml:space="preserve">JO Spa offer</x:t>
        </x:is>
      </x:c>
      <x:c r="D22" s="4" t="inlineStr">
        <x:is>
          <x:t xml:space="preserve">Terms and Conditions • By using this offer, you agree to the following terms and conditions.</x:t>
        </x:is>
      </x:c>
      <x:c r="E22" s="5"/>
      <x:c r="F22" s="5"/>
      <x:c r="G22" s="5"/>
      <x:c r="H22" s="7" t="str">
        <x:f t="shared" si="1"/>
      </x:c>
      <x:c r="I22" s="6" t="str">
        <x:f t="shared" si="2"/>
      </x:c>
      <x:c r="J22" s="4"/>
      <x:c r="K22" s="4"/>
      <x:c r="L22" s="4"/>
      <x:c r="M22" s="9" t="str">
        <x:f t="shared" si="4"/>
      </x:c>
      <x:c r="N22" s="4" t="inlineStr">
        <x:is>
          <x:t xml:space="preserve">https://barq.com/offers/jo-spa-offer/</x:t>
        </x:is>
      </x:c>
      <x:c r="O22" s="4"/>
      <x:c r="P22" s="4"/>
      <x:c r="Q22" s="4"/>
      <x:c r="R22" s="4"/>
      <x:c r="S22" s="4"/>
      <x:c r="T22" s="5" t="n">
        <x:v>46260.08078116647</x:v>
      </x:c>
      <x:c r="U22" s="35" t="str">
        <x:f t="shared" si="3"/>
      </x:c>
    </x:row>
    <x:row r="23" ht="46.650001525878906" customHeight="1">
      <x:c r="A23" s="8" t="str">
        <x:f t="shared" si="0"/>
      </x:c>
      <x:c r="B23" s="4" t="inlineStr">
        <x:is>
          <x:t xml:space="preserve">Merchant</x:t>
        </x:is>
      </x:c>
      <x:c r="C23" s="4" t="inlineStr">
        <x:is>
          <x:t xml:space="preserve">Lilt Furniture offer</x:t>
        </x:is>
      </x:c>
      <x:c r="D23" s="4" t="inlineStr">
        <x:is>
          <x:t xml:space="preserve">Terms and Conditions Offer • 15% Discount for barq cardholders</x:t>
        </x:is>
      </x:c>
      <x:c r="E23" s="5"/>
      <x:c r="F23" s="5"/>
      <x:c r="G23" s="5"/>
      <x:c r="H23" s="7" t="str">
        <x:f t="shared" si="1"/>
      </x:c>
      <x:c r="I23" s="6" t="str">
        <x:f t="shared" si="2"/>
      </x:c>
      <x:c r="J23" s="4"/>
      <x:c r="K23" s="4"/>
      <x:c r="L23" s="4"/>
      <x:c r="M23" s="9" t="str">
        <x:f t="shared" si="4"/>
      </x:c>
      <x:c r="N23" s="4" t="inlineStr">
        <x:is>
          <x:t xml:space="preserve">https://barq.com/offers/lilt-furniture/</x:t>
        </x:is>
      </x:c>
      <x:c r="O23" s="4"/>
      <x:c r="P23" s="4"/>
      <x:c r="Q23" s="4"/>
      <x:c r="R23" s="4"/>
      <x:c r="S23" s="4"/>
      <x:c r="T23" s="5" t="n">
        <x:v>46260.08078116647</x:v>
      </x:c>
      <x:c r="U23" s="35" t="str">
        <x:f t="shared" si="3"/>
      </x:c>
    </x:row>
    <x:row r="24" ht="46.650001525878906" customHeight="1">
      <x:c r="A24" s="8" t="str">
        <x:f t="shared" si="0"/>
      </x:c>
      <x:c r="B24" s="4" t="inlineStr">
        <x:is>
          <x:t xml:space="preserve">Merchant</x:t>
        </x:is>
      </x:c>
      <x:c r="C24" s="4" t="inlineStr">
        <x:is>
          <x:t xml:space="preserve">Lucca Steakhouse offer</x:t>
        </x:is>
      </x:c>
      <x:c r="D24" s="4" t="inlineStr">
        <x:is>
          <x:t xml:space="preserve">Terms and Conditions • By using this offer, you agree to the following terms and conditions.</x:t>
        </x:is>
      </x:c>
      <x:c r="E24" s="5"/>
      <x:c r="F24" s="5" t="n">
        <x:v>46054.0</x:v>
      </x:c>
      <x:c r="G24" s="5" t="n">
        <x:v>46234.0</x:v>
      </x:c>
      <x:c r="H24" s="7" t="str">
        <x:f t="shared" si="1"/>
      </x:c>
      <x:c r="I24" s="6" t="str">
        <x:f t="shared" si="2"/>
      </x:c>
      <x:c r="J24" s="4"/>
      <x:c r="K24" s="4"/>
      <x:c r="L24" s="4"/>
      <x:c r="M24" s="9" t="str">
        <x:f t="shared" si="4"/>
      </x:c>
      <x:c r="N24" s="4" t="inlineStr">
        <x:is>
          <x:t xml:space="preserve">https://barq.com/offers/lucca-steakhouse/</x:t>
        </x:is>
      </x:c>
      <x:c r="O24" s="4"/>
      <x:c r="P24" s="4"/>
      <x:c r="Q24" s="4"/>
      <x:c r="R24" s="4"/>
      <x:c r="S24" s="4"/>
      <x:c r="T24" s="5" t="n">
        <x:v>46260.08078116647</x:v>
      </x:c>
      <x:c r="U24" s="35" t="str">
        <x:f t="shared" si="3"/>
      </x:c>
    </x:row>
    <x:row r="25" ht="46.650001525878906" customHeight="1">
      <x:c r="A25" s="8" t="str">
        <x:f t="shared" si="0"/>
      </x:c>
      <x:c r="B25" s="4" t="inlineStr">
        <x:is>
          <x:t xml:space="preserve">Merchant</x:t>
        </x:is>
      </x:c>
      <x:c r="C25" s="4" t="inlineStr">
        <x:is>
          <x:t xml:space="preserve">Mazrood offer</x:t>
        </x:is>
      </x:c>
      <x:c r="D25" s="4" t="inlineStr">
        <x:is>
          <x:t xml:space="preserve">Terms and Conditions Offer • 10% discount</x:t>
        </x:is>
      </x:c>
      <x:c r="E25" s="5"/>
      <x:c r="F25" s="5" t="n">
        <x:v>46054.0</x:v>
      </x:c>
      <x:c r="G25" s="5" t="n">
        <x:v>46234.0</x:v>
      </x:c>
      <x:c r="H25" s="7" t="str">
        <x:f t="shared" si="1"/>
      </x:c>
      <x:c r="I25" s="6" t="str">
        <x:f t="shared" si="2"/>
      </x:c>
      <x:c r="J25" s="4"/>
      <x:c r="K25" s="4"/>
      <x:c r="L25" s="4"/>
      <x:c r="M25" s="9" t="str">
        <x:f t="shared" si="4"/>
      </x:c>
      <x:c r="N25" s="4" t="inlineStr">
        <x:is>
          <x:t xml:space="preserve">https://barq.com/ar/offers/mazrood/</x:t>
        </x:is>
      </x:c>
      <x:c r="O25" s="4"/>
      <x:c r="P25" s="4"/>
      <x:c r="Q25" s="4"/>
      <x:c r="R25" s="4"/>
      <x:c r="S25" s="4"/>
      <x:c r="T25" s="5" t="n">
        <x:v>46260.08078116647</x:v>
      </x:c>
      <x:c r="U25" s="35" t="str">
        <x:f t="shared" si="3"/>
      </x:c>
    </x:row>
    <x:row r="26" ht="46.650001525878906" customHeight="1">
      <x:c r="A26" s="8" t="str">
        <x:f t="shared" si="0"/>
      </x:c>
      <x:c r="B26" s="4" t="inlineStr">
        <x:is>
          <x:t xml:space="preserve">Merchant</x:t>
        </x:is>
      </x:c>
      <x:c r="C26" s="4" t="inlineStr">
        <x:is>
          <x:t xml:space="preserve">Miro Furniture offer</x:t>
        </x:is>
      </x:c>
      <x:c r="D26" s="4" t="inlineStr">
        <x:is>
          <x:t xml:space="preserve">Terms and Conditions Offer • 15% Discount for barq cardholders</x:t>
        </x:is>
      </x:c>
      <x:c r="E26" s="5"/>
      <x:c r="F26" s="5"/>
      <x:c r="G26" s="5"/>
      <x:c r="H26" s="7" t="str">
        <x:f t="shared" si="1"/>
      </x:c>
      <x:c r="I26" s="6" t="str">
        <x:f t="shared" si="2"/>
      </x:c>
      <x:c r="J26" s="4"/>
      <x:c r="K26" s="4"/>
      <x:c r="L26" s="4"/>
      <x:c r="M26" s="9" t="str">
        <x:f t="shared" si="4"/>
      </x:c>
      <x:c r="N26" s="4" t="inlineStr">
        <x:is>
          <x:t xml:space="preserve">https://barq.com/offers/miro-furniture-offer/</x:t>
        </x:is>
      </x:c>
      <x:c r="O26" s="4"/>
      <x:c r="P26" s="4"/>
      <x:c r="Q26" s="4"/>
      <x:c r="R26" s="4"/>
      <x:c r="S26" s="4"/>
      <x:c r="T26" s="5" t="n">
        <x:v>46260.08078116647</x:v>
      </x:c>
      <x:c r="U26" s="35" t="str">
        <x:f t="shared" si="3"/>
      </x:c>
    </x:row>
    <x:row r="27" ht="46.650001525878906" customHeight="1">
      <x:c r="A27" s="8" t="str">
        <x:f t="shared" si="0"/>
      </x:c>
      <x:c r="B27" s="4" t="inlineStr">
        <x:is>
          <x:t xml:space="preserve">Merchant</x:t>
        </x:is>
      </x:c>
      <x:c r="C27" s="4" t="inlineStr">
        <x:is>
          <x:t xml:space="preserve">Mrsool × barq Offer</x:t>
        </x:is>
      </x:c>
      <x:c r="D27" s="4" t="inlineStr">
        <x:is>
          <x:t xml:space="preserve">By using this offer, the customer acknowledges and agrees to the following terms and conditions. To be eligible for this offer, customers must meet the following criteria:</x:t>
        </x:is>
      </x:c>
      <x:c r="E27" s="5"/>
      <x:c r="F27" s="5" t="n">
        <x:v>46063.0</x:v>
      </x:c>
      <x:c r="G27" s="5" t="n">
        <x:v>46075.0</x:v>
      </x:c>
      <x:c r="H27" s="7" t="str">
        <x:f t="shared" si="1"/>
      </x:c>
      <x:c r="I27" s="6" t="str">
        <x:f t="shared" si="2"/>
      </x:c>
      <x:c r="J27" s="4"/>
      <x:c r="K27" s="4"/>
      <x:c r="L27" s="4"/>
      <x:c r="M27" s="9" t="str">
        <x:f t="shared" si="4"/>
      </x:c>
      <x:c r="N27" s="4" t="inlineStr">
        <x:is>
          <x:t xml:space="preserve">https://barq.com/offers/mrsool-x-barq-offer/</x:t>
        </x:is>
      </x:c>
      <x:c r="O27" s="4"/>
      <x:c r="P27" s="4"/>
      <x:c r="Q27" s="4"/>
      <x:c r="R27" s="4"/>
      <x:c r="S27" s="4"/>
      <x:c r="T27" s="5" t="n">
        <x:v>46260.08078116647</x:v>
      </x:c>
      <x:c r="U27" s="35" t="str">
        <x:f t="shared" si="3"/>
      </x:c>
    </x:row>
    <x:row r="28" ht="46.650001525878906" customHeight="1">
      <x:c r="A28" s="8" t="str">
        <x:f t="shared" si="0"/>
      </x:c>
      <x:c r="B28" s="4" t="inlineStr">
        <x:is>
          <x:t xml:space="preserve">Merchant</x:t>
        </x:is>
      </x:c>
      <x:c r="C28" s="4" t="inlineStr">
        <x:is>
          <x:t xml:space="preserve">Nabataty offer</x:t>
        </x:is>
      </x:c>
      <x:c r="D28" s="4" t="inlineStr">
        <x:is>
          <x:t xml:space="preserve">Terms and Conditions Offer • 15% Discount</x:t>
        </x:is>
      </x:c>
      <x:c r="E28" s="5"/>
      <x:c r="F28" s="5"/>
      <x:c r="G28" s="5"/>
      <x:c r="H28" s="7" t="str">
        <x:f t="shared" si="1"/>
      </x:c>
      <x:c r="I28" s="6" t="str">
        <x:f t="shared" si="2"/>
      </x:c>
      <x:c r="J28" s="4"/>
      <x:c r="K28" s="4"/>
      <x:c r="L28" s="4"/>
      <x:c r="M28" s="9" t="str">
        <x:f t="shared" si="4"/>
      </x:c>
      <x:c r="N28" s="4" t="inlineStr">
        <x:is>
          <x:t xml:space="preserve">https://barq.com/offers/nabataty-offer/</x:t>
        </x:is>
      </x:c>
      <x:c r="O28" s="4"/>
      <x:c r="P28" s="4"/>
      <x:c r="Q28" s="4"/>
      <x:c r="R28" s="4"/>
      <x:c r="S28" s="4"/>
      <x:c r="T28" s="5" t="n">
        <x:v>46260.08078116647</x:v>
      </x:c>
      <x:c r="U28" s="35" t="str">
        <x:f t="shared" si="3"/>
      </x:c>
    </x:row>
    <x:row r="29" ht="46.650001525878906" customHeight="1">
      <x:c r="A29" s="8" t="str">
        <x:f t="shared" si="0"/>
      </x:c>
      <x:c r="B29" s="4" t="inlineStr">
        <x:is>
          <x:t xml:space="preserve">Merchant</x:t>
        </x:is>
      </x:c>
      <x:c r="C29" s="4" t="inlineStr">
        <x:is>
          <x:t xml:space="preserve">Namu offer</x:t>
        </x:is>
      </x:c>
      <x:c r="D29" s="4" t="inlineStr">
        <x:is>
          <x:t xml:space="preserve">Terms and Conditions Offer • 15% Discount</x:t>
        </x:is>
      </x:c>
      <x:c r="E29" s="5"/>
      <x:c r="F29" s="5"/>
      <x:c r="G29" s="5"/>
      <x:c r="H29" s="7" t="str">
        <x:f t="shared" si="1"/>
      </x:c>
      <x:c r="I29" s="6" t="str">
        <x:f t="shared" si="2"/>
      </x:c>
      <x:c r="J29" s="4"/>
      <x:c r="K29" s="4"/>
      <x:c r="L29" s="4"/>
      <x:c r="M29" s="9" t="str">
        <x:f t="shared" si="4"/>
      </x:c>
      <x:c r="N29" s="4" t="inlineStr">
        <x:is>
          <x:t xml:space="preserve">https://barq.com/offers/namu-offer/</x:t>
        </x:is>
      </x:c>
      <x:c r="O29" s="4"/>
      <x:c r="P29" s="4"/>
      <x:c r="Q29" s="4"/>
      <x:c r="R29" s="4"/>
      <x:c r="S29" s="4"/>
      <x:c r="T29" s="5" t="n">
        <x:v>46260.08078116647</x:v>
      </x:c>
      <x:c r="U29" s="35" t="str">
        <x:f t="shared" si="3"/>
      </x:c>
    </x:row>
    <x:row r="30" ht="46.650001525878906" customHeight="1">
      <x:c r="A30" s="8" t="str">
        <x:f t="shared" si="0"/>
      </x:c>
      <x:c r="B30" s="4" t="inlineStr">
        <x:is>
          <x:t xml:space="preserve">Merchant</x:t>
        </x:is>
      </x:c>
      <x:c r="C30" s="4" t="inlineStr">
        <x:is>
          <x:t xml:space="preserve">ORO OXO Café offer</x:t>
        </x:is>
      </x:c>
      <x:c r="D30" s="4" t="inlineStr">
        <x:is>
          <x:t xml:space="preserve">Terms and Conditions Offer • 20% discount</x:t>
        </x:is>
      </x:c>
      <x:c r="E30" s="5"/>
      <x:c r="F30" s="5"/>
      <x:c r="G30" s="5"/>
      <x:c r="H30" s="7" t="str">
        <x:f t="shared" si="1"/>
      </x:c>
      <x:c r="I30" s="6" t="str">
        <x:f t="shared" si="2"/>
      </x:c>
      <x:c r="J30" s="4"/>
      <x:c r="K30" s="4"/>
      <x:c r="L30" s="4"/>
      <x:c r="M30" s="9" t="str">
        <x:f t="shared" si="4"/>
      </x:c>
      <x:c r="N30" s="4" t="inlineStr">
        <x:is>
          <x:t xml:space="preserve">https://barq.com/offers/oro-oxo-cafe-offer/</x:t>
        </x:is>
      </x:c>
      <x:c r="O30" s="4"/>
      <x:c r="P30" s="4"/>
      <x:c r="Q30" s="4"/>
      <x:c r="R30" s="4"/>
      <x:c r="S30" s="4"/>
      <x:c r="T30" s="5" t="n">
        <x:v>46260.08078116647</x:v>
      </x:c>
      <x:c r="U30" s="35" t="str">
        <x:f t="shared" si="3"/>
      </x:c>
    </x:row>
    <x:row r="31" ht="46.650001525878906" customHeight="1">
      <x:c r="A31" s="8" t="str">
        <x:f t="shared" si="0"/>
      </x:c>
      <x:c r="B31" s="4" t="inlineStr">
        <x:is>
          <x:t xml:space="preserve">Merchant</x:t>
        </x:is>
      </x:c>
      <x:c r="C31" s="4" t="inlineStr">
        <x:is>
          <x:t xml:space="preserve">Rose Maison offer</x:t>
        </x:is>
      </x:c>
      <x:c r="D31" s="4" t="inlineStr">
        <x:is>
          <x:t xml:space="preserve">Terms and Conditions Offer • 10% Discount</x:t>
        </x:is>
      </x:c>
      <x:c r="E31" s="5"/>
      <x:c r="F31" s="5"/>
      <x:c r="G31" s="5"/>
      <x:c r="H31" s="7" t="str">
        <x:f t="shared" si="1"/>
      </x:c>
      <x:c r="I31" s="6" t="str">
        <x:f t="shared" si="2"/>
      </x:c>
      <x:c r="J31" s="4"/>
      <x:c r="K31" s="4"/>
      <x:c r="L31" s="4"/>
      <x:c r="M31" s="9" t="str">
        <x:f t="shared" si="4"/>
      </x:c>
      <x:c r="N31" s="4" t="inlineStr">
        <x:is>
          <x:t xml:space="preserve">https://barq.com/offers/rose-maison-offer/</x:t>
        </x:is>
      </x:c>
      <x:c r="O31" s="4"/>
      <x:c r="P31" s="4"/>
      <x:c r="Q31" s="4"/>
      <x:c r="R31" s="4"/>
      <x:c r="S31" s="4"/>
      <x:c r="T31" s="5" t="n">
        <x:v>46260.08078116647</x:v>
      </x:c>
      <x:c r="U31" s="35" t="str">
        <x:f t="shared" si="3"/>
      </x:c>
    </x:row>
    <x:row r="32" ht="46.650001525878906" customHeight="1">
      <x:c r="A32" s="8" t="str">
        <x:f t="shared" si="0"/>
      </x:c>
      <x:c r="B32" s="4" t="inlineStr">
        <x:is>
          <x:t xml:space="preserve">Merchant</x:t>
        </x:is>
      </x:c>
      <x:c r="C32" s="4" t="inlineStr">
        <x:is>
          <x:t xml:space="preserve">Urth Caffe offer</x:t>
        </x:is>
      </x:c>
      <x:c r="D32" s="4" t="inlineStr">
        <x:is>
          <x:t xml:space="preserve">Terms and Conditions • By using this offer, you agree to the following terms and conditions.</x:t>
        </x:is>
      </x:c>
      <x:c r="E32" s="5"/>
      <x:c r="F32" s="5" t="n">
        <x:v>46054.0</x:v>
      </x:c>
      <x:c r="G32" s="5" t="n">
        <x:v>46234.0</x:v>
      </x:c>
      <x:c r="H32" s="7" t="str">
        <x:f t="shared" si="1"/>
      </x:c>
      <x:c r="I32" s="6" t="str">
        <x:f t="shared" si="2"/>
      </x:c>
      <x:c r="J32" s="4"/>
      <x:c r="K32" s="4"/>
      <x:c r="L32" s="4"/>
      <x:c r="M32" s="9" t="str">
        <x:f t="shared" si="4"/>
      </x:c>
      <x:c r="N32" s="4" t="inlineStr">
        <x:is>
          <x:t xml:space="preserve">https://barq.com/offers/urth-caffe-offer/</x:t>
        </x:is>
      </x:c>
      <x:c r="O32" s="4"/>
      <x:c r="P32" s="4"/>
      <x:c r="Q32" s="4"/>
      <x:c r="R32" s="4"/>
      <x:c r="S32" s="4"/>
      <x:c r="T32" s="5" t="n">
        <x:v>46260.08078116647</x:v>
      </x:c>
      <x:c r="U32" s="35" t="str">
        <x:f t="shared" si="3"/>
      </x:c>
    </x:row>
    <x:row r="33" ht="46.650001525878906" customHeight="1">
      <x:c r="A33" s="8" t="str">
        <x:f t="shared" si="0"/>
      </x:c>
      <x:c r="B33" s="4" t="inlineStr">
        <x:is>
          <x:t xml:space="preserve">Merchant</x:t>
        </x:is>
      </x:c>
      <x:c r="C33" s="4" t="inlineStr">
        <x:is>
          <x:t xml:space="preserve">VogaCloset × برق</x:t>
        </x:is>
      </x:c>
      <x:c r="D33" s="4" t="inlineStr">
        <x:is>
          <x:t xml:space="preserve">تقدم فيزا بالشراكة مع VogaCloset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3" s="5"/>
      <x:c r="F33" s="5" t="n">
        <x:v>46128.0</x:v>
      </x:c>
      <x:c r="G33" s="5" t="n">
        <x:v>46295.0</x:v>
      </x:c>
      <x:c r="H33" s="7" t="str">
        <x:f t="shared" si="1"/>
      </x:c>
      <x:c r="I33" s="6" t="str">
        <x:f t="shared" si="2"/>
      </x:c>
      <x:c r="J33" s="4"/>
      <x:c r="K33" s="4"/>
      <x:c r="L33" s="4"/>
      <x:c r="M33" s="9" t="str">
        <x:f t="shared" si="4"/>
      </x:c>
      <x:c r="N33" s="4" t="inlineStr">
        <x:is>
          <x:t xml:space="preserve">https://barq.com/ar/offers/vogacloset-offer/</x:t>
        </x:is>
      </x:c>
      <x:c r="O33" s="4"/>
      <x:c r="P33" s="4"/>
      <x:c r="Q33" s="4"/>
      <x:c r="R33" s="4"/>
      <x:c r="S33" s="4"/>
      <x:c r="T33" s="5" t="n">
        <x:v>46259.875649202964</x:v>
      </x:c>
      <x:c r="U33" s="35" t="str">
        <x:f t="shared" si="3"/>
      </x:c>
    </x:row>
    <x:row r="34" ht="46.650001525878906" customHeight="1">
      <x:c r="A34" s="8" t="str">
        <x:f t="shared" si="0"/>
      </x:c>
      <x:c r="B34" s="4" t="inlineStr">
        <x:is>
          <x:t xml:space="preserve">Merchant</x:t>
        </x:is>
      </x:c>
      <x:c r="C34" s="4" t="inlineStr">
        <x:is>
          <x:t xml:space="preserve">Wafi Gourmet offer</x:t>
        </x:is>
      </x:c>
      <x:c r="D34" s="4" t="inlineStr">
        <x:is>
          <x:t xml:space="preserve">Terms and Conditions Offer • 15% Discount</x:t>
        </x:is>
      </x:c>
      <x:c r="E34" s="5"/>
      <x:c r="F34" s="5"/>
      <x:c r="G34" s="5"/>
      <x:c r="H34" s="7" t="str">
        <x:f t="shared" si="1"/>
      </x:c>
      <x:c r="I34" s="6" t="str">
        <x:f t="shared" si="2"/>
      </x:c>
      <x:c r="J34" s="4"/>
      <x:c r="K34" s="4"/>
      <x:c r="L34" s="4"/>
      <x:c r="M34" s="9" t="str">
        <x:f t="shared" si="4"/>
      </x:c>
      <x:c r="N34" s="4" t="inlineStr">
        <x:is>
          <x:t xml:space="preserve">https://barq.com/offers/wafi-gourmet/</x:t>
        </x:is>
      </x:c>
      <x:c r="O34" s="4"/>
      <x:c r="P34" s="4"/>
      <x:c r="Q34" s="4"/>
      <x:c r="R34" s="4"/>
      <x:c r="S34" s="4"/>
      <x:c r="T34" s="5" t="n">
        <x:v>46260.08078116647</x:v>
      </x:c>
      <x:c r="U34" s="35" t="str">
        <x:f t="shared" si="3"/>
      </x:c>
    </x:row>
    <x:row r="35" ht="46.650001525878906" customHeight="1">
      <x:c r="A35" s="8" t="str">
        <x:f t="shared" si="0"/>
      </x:c>
      <x:c r="B35" s="4" t="inlineStr">
        <x:is>
          <x:t xml:space="preserve">Merchant</x:t>
        </x:is>
      </x:c>
      <x:c r="C35" s="4" t="inlineStr">
        <x:is>
          <x:t xml:space="preserve">عرض برق × Gunaydin</x:t>
        </x:is>
      </x:c>
      <x:c r="D35" s="4" t="inlineStr">
        <x:is>
          <x:t xml:space="preserve">تقدّم Gunaydin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5" s="5"/>
      <x:c r="F35" s="5" t="n">
        <x:v>46204.0</x:v>
      </x:c>
      <x:c r="G35" s="5" t="n">
        <x:v>46723.0</x:v>
      </x:c>
      <x:c r="H35" s="7" t="str">
        <x:f t="shared" si="1"/>
      </x:c>
      <x:c r="I35" s="6" t="str">
        <x:f t="shared" si="2"/>
      </x:c>
      <x:c r="J35" s="4"/>
      <x:c r="K35" s="4"/>
      <x:c r="L35" s="4"/>
      <x:c r="M35" s="9" t="str">
        <x:f t="shared" si="4"/>
      </x:c>
      <x:c r="N35" s="4" t="inlineStr">
        <x:is>
          <x:t xml:space="preserve">https://barq.com/ar/offers/%d8%b9%d8%b1%d8%b6-%d8%a8%d8%b1%d9%82-x-gunaydin/</x:t>
        </x:is>
      </x:c>
      <x:c r="O35" s="4"/>
      <x:c r="P35" s="4"/>
      <x:c r="Q35" s="4"/>
      <x:c r="R35" s="4"/>
      <x:c r="S35" s="4"/>
      <x:c r="T35" s="5" t="n">
        <x:v>46259.875649202964</x:v>
      </x:c>
      <x:c r="U35" s="35" t="str">
        <x:f t="shared" si="3"/>
      </x:c>
    </x:row>
    <x:row r="36" ht="46.650001525878906" customHeight="1">
      <x:c r="A36" s="8" t="str">
        <x:f t="shared" si="0"/>
      </x:c>
      <x:c r="B36" s="4" t="inlineStr">
        <x:is>
          <x:t xml:space="preserve">Merchant</x:t>
        </x:is>
      </x:c>
      <x:c r="C36" s="4" t="inlineStr">
        <x:is>
          <x:t xml:space="preserve">عرض برق × Meat Moot</x:t>
        </x:is>
      </x:c>
      <x:c r="D36" s="4" t="inlineStr">
        <x:is>
          <x:t xml:space="preserve">تقدّم Meat Moot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6" s="5"/>
      <x:c r="F36" s="5" t="n">
        <x:v>46204.0</x:v>
      </x:c>
      <x:c r="G36" s="5" t="n">
        <x:v>46126.0</x:v>
      </x:c>
      <x:c r="H36" s="7" t="str">
        <x:f t="shared" si="1"/>
      </x:c>
      <x:c r="I36" s="6" t="str">
        <x:f t="shared" si="2"/>
      </x:c>
      <x:c r="J36" s="4"/>
      <x:c r="K36" s="4"/>
      <x:c r="L36" s="4"/>
      <x:c r="M36" s="9" t="str">
        <x:f t="shared" si="4"/>
      </x:c>
      <x:c r="N36" s="4" t="inlineStr">
        <x:is>
          <x:t xml:space="preserve">https://barq.com/ar/offers/%d8%b9%d8%b1%d8%b6-%d8%a8%d8%b1%d9%82-x-meat-moot/</x:t>
        </x:is>
      </x:c>
      <x:c r="O36" s="4"/>
      <x:c r="P36" s="4"/>
      <x:c r="Q36" s="4"/>
      <x:c r="R36" s="4"/>
      <x:c r="S36" s="4"/>
      <x:c r="T36" s="5" t="n">
        <x:v>46259.875649202964</x:v>
      </x:c>
      <x:c r="U36" s="35" t="str">
        <x:f t="shared" si="3"/>
      </x:c>
    </x:row>
    <x:row r="37" ht="46.650001525878906" customHeight="1">
      <x:c r="A37" s="8" t="str">
        <x:f t="shared" si="0"/>
      </x:c>
      <x:c r="B37" s="4" t="inlineStr">
        <x:is>
          <x:t xml:space="preserve">Merchant</x:t>
        </x:is>
      </x:c>
      <x:c r="C37" s="4" t="inlineStr">
        <x:is>
          <x:t xml:space="preserve">عرض برق × Taleed by Michael Mina Bab Samhan (Diriyah)</x:t>
        </x:is>
      </x:c>
      <x:c r="D37" s="4" t="inlineStr">
        <x:is>
          <x:t xml:space="preserve">تقدّم Taleed by Michael Mina Bab Samhan (Diriyah) لعملاء محفظة برق خصمًا حصريًا وفق الشروط والأحكام الموضّحة أدناه. باستخدام هذا العرض، يقرّ العميل بموافقته الكاملة على هذه الشروط والأحكام. للاستفادة من العرض، يجب استيفاء الشروط التالية:</x:t>
        </x:is>
      </x:c>
      <x:c r="E37" s="5"/>
      <x:c r="F37" s="5" t="n">
        <x:v>46204.0</x:v>
      </x:c>
      <x:c r="G37" s="5" t="n">
        <x:v>46454.0</x:v>
      </x:c>
      <x:c r="H37" s="7" t="str">
        <x:f t="shared" si="1"/>
      </x:c>
      <x:c r="I37" s="6" t="str">
        <x:f t="shared" si="2"/>
      </x:c>
      <x:c r="J37" s="4"/>
      <x:c r="K37" s="4"/>
      <x:c r="L37" s="4"/>
      <x:c r="M37" s="9" t="str">
        <x:f t="shared" si="4"/>
      </x:c>
      <x:c r="N37" s="4" t="inlineStr">
        <x:is>
          <x:t xml:space="preserve">https://barq.com/ar/offers/%d8%b9%d8%b1%d8%b6-%d8%a8%d8%b1%d9%82-x-taleed-by-michael-mina-bab-samhan-diriyah/</x:t>
        </x:is>
      </x:c>
      <x:c r="O37" s="4"/>
      <x:c r="P37" s="4"/>
      <x:c r="Q37" s="4"/>
      <x:c r="R37" s="4"/>
      <x:c r="S37" s="4"/>
      <x:c r="T37" s="5" t="n">
        <x:v>46259.875649202964</x:v>
      </x:c>
      <x:c r="U37" s="35" t="str">
        <x:f t="shared" si="3"/>
      </x:c>
    </x:row>
    <x:row r="38" ht="46.650001525878906" customHeight="1">
      <x:c r="A38" s="8" t="str">
        <x:f t="shared" si="0"/>
      </x:c>
      <x:c r="B38" s="4" t="inlineStr">
        <x:is>
          <x:t xml:space="preserve">Merchant</x:t>
        </x:is>
      </x:c>
      <x:c r="C38" s="4" t="inlineStr">
        <x:is>
          <x:t xml:space="preserve">عرض برق × محمصة الرياض</x:t>
        </x:is>
      </x:c>
      <x:c r="D38" s="4" t="inlineStr">
        <x:is>
          <x:t xml:space="preserve">تقدم محفظة برق بالشراكة مع محمصة الرياض عرضًا،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38" s="5"/>
      <x:c r="F38" s="5" t="n">
        <x:v>46180.0</x:v>
      </x:c>
      <x:c r="G38" s="5" t="n">
        <x:v>46363.0</x:v>
      </x:c>
      <x:c r="H38" s="7" t="str">
        <x:f t="shared" si="1"/>
      </x:c>
      <x:c r="I38" s="6" t="str">
        <x:f t="shared" si="2"/>
      </x:c>
      <x:c r="J38" s="4"/>
      <x:c r="K38" s="4"/>
      <x:c r="L38" s="4"/>
      <x:c r="M38" s="9" t="str">
        <x:f t="shared" si="4"/>
      </x:c>
      <x:c r="N38" s="4" t="inlineStr">
        <x:is>
          <x:t xml:space="preserve">https://barq.com/ar/offers/%d8%b9%d8%b1%d8%b6-%d8%a8%d8%b1%d9%82-x-%d9%85%d8%ad%d9%85%d8%b5%d8%a9-%d8%a7%d9%84%d8%b1%d9%8a%d8%a7%d8%b6/</x:t>
        </x:is>
      </x:c>
      <x:c r="O38" s="4"/>
      <x:c r="P38" s="4"/>
      <x:c r="Q38" s="4"/>
      <x:c r="R38" s="4"/>
      <x:c r="S38" s="4"/>
      <x:c r="T38" s="5" t="n">
        <x:v>46259.875649202964</x:v>
      </x:c>
      <x:c r="U38" s="35" t="str">
        <x:f t="shared" si="3"/>
      </x:c>
    </x:row>
    <x:row r="39" ht="46.650001525878906" customHeight="1">
      <x:c r="A39" s="8" t="str">
        <x:f t="shared" si="0"/>
      </x:c>
      <x:c r="B39" s="4" t="inlineStr">
        <x:is>
          <x:t xml:space="preserve">Merchant</x:t>
        </x:is>
      </x:c>
      <x:c r="C39" s="4" t="inlineStr">
        <x:is>
          <x:t xml:space="preserve">عرض جو سبا</x:t>
        </x:is>
      </x:c>
      <x:c r="D39" s="4" t="inlineStr">
        <x:is>
          <x:t xml:space="preserve">الاتفاقية • باستخدام هذا العرض، فإنك توافق على الشروط والأحكام التالية. • من 1 فبراير 2026 حتى 31 يوليو 2026</x:t>
        </x:is>
      </x:c>
      <x:c r="E39" s="5"/>
      <x:c r="F39" s="5" t="n">
        <x:v>46054.0</x:v>
      </x:c>
      <x:c r="G39" s="5" t="n">
        <x:v>46234.0</x:v>
      </x:c>
      <x:c r="H39" s="7" t="str">
        <x:f t="shared" si="1"/>
      </x:c>
      <x:c r="I39" s="6" t="str">
        <x:f t="shared" si="2"/>
      </x:c>
      <x:c r="J39" s="4"/>
      <x:c r="K39" s="4"/>
      <x:c r="L39" s="4"/>
      <x:c r="M39" s="9" t="str">
        <x:f t="shared" si="4"/>
      </x:c>
      <x:c r="N39" s="4" t="inlineStr">
        <x:is>
          <x:t xml:space="preserve">https://barq.com/ar/offers/jo-spa/</x:t>
        </x:is>
      </x:c>
      <x:c r="O39" s="4"/>
      <x:c r="P39" s="4"/>
      <x:c r="Q39" s="4"/>
      <x:c r="R39" s="4"/>
      <x:c r="S39" s="4"/>
      <x:c r="T39" s="5" t="n">
        <x:v>46259.875649202964</x:v>
      </x:c>
      <x:c r="U39" s="35" t="str">
        <x:f t="shared" si="3"/>
      </x:c>
    </x:row>
    <x:row r="40" ht="46.650001525878906" customHeight="1">
      <x:c r="A40" s="8" t="str">
        <x:f t="shared" si="0"/>
      </x:c>
      <x:c r="B40" s="4" t="inlineStr">
        <x:is>
          <x:t xml:space="preserve">Merchant</x:t>
        </x:is>
      </x:c>
      <x:c r="C40" s="4" t="inlineStr">
        <x:is>
          <x:t xml:space="preserve">عرض درايف 7</x:t>
        </x:is>
      </x:c>
      <x:c r="D40" s="4" t="inlineStr">
        <x:is>
          <x:t xml:space="preserve">باستخدام هذا العرض، فإنك توافق على الشروط والأحكام التالية، ويُعد استخدام العرض موافقة صريحة من العميل بعد اطلاعه على هذه الشروط والمنشورة عبر القنوات الرسمية لتطبيق برق. للاستفادة من العرض، يجب استيفاء الشروط التالية:</x:t>
        </x:is>
      </x:c>
      <x:c r="E40" s="5"/>
      <x:c r="F40" s="5" t="n">
        <x:v>46054.0</x:v>
      </x:c>
      <x:c r="G40" s="5" t="n">
        <x:v>46269.0</x:v>
      </x:c>
      <x:c r="H40" s="7" t="str">
        <x:f t="shared" si="1"/>
      </x:c>
      <x:c r="I40" s="6" t="str">
        <x:f t="shared" si="2"/>
      </x:c>
      <x:c r="J40" s="4"/>
      <x:c r="K40" s="4"/>
      <x:c r="L40" s="4"/>
      <x:c r="M40" s="9" t="str">
        <x:f t="shared" si="4"/>
      </x:c>
      <x:c r="N40" s="4" t="inlineStr">
        <x:is>
          <x:t xml:space="preserve">https://barq.com/ar/offers/drive7/</x:t>
        </x:is>
      </x:c>
      <x:c r="O40" s="4"/>
      <x:c r="P40" s="4"/>
      <x:c r="Q40" s="4"/>
      <x:c r="R40" s="4"/>
      <x:c r="S40" s="4"/>
      <x:c r="T40" s="5" t="n">
        <x:v>46259.875649202964</x:v>
      </x:c>
      <x:c r="U40" s="35" t="str">
        <x:f t="shared" si="3"/>
      </x:c>
    </x:row>
    <x:row r="41" ht="46.650001525878906" customHeight="1">
      <x:c r="A41" s="8" t="str">
        <x:f t="shared" si="0"/>
      </x:c>
      <x:c r="B41" s="4" t="inlineStr">
        <x:is>
          <x:t xml:space="preserve">Merchant</x:t>
        </x:is>
      </x:c>
      <x:c r="C41" s="4" t="inlineStr">
        <x:is>
          <x:t xml:space="preserve">عرض شي ان × برق</x:t>
        </x:is>
      </x:c>
      <x:c r="D41" s="4" t="inlineStr">
        <x:is>
          <x:t xml:space="preserve">تقدم فيزا بالشراكة مع شي ان عرضًا لحاملي بطاقة برق فيزا، وذلك وفق الشروط والأحكام الموضحة أدناه. بالاستفادة من العرض، يقر العميل بموافقته الكاملة على هذه الشروط. للاستفادة من العرض، يجب استيفاء الشروط التالية:</x:t>
        </x:is>
      </x:c>
      <x:c r="E41" s="5"/>
      <x:c r="F41" s="5" t="n">
        <x:v>46128.0</x:v>
      </x:c>
      <x:c r="G41" s="5" t="n">
        <x:v>46295.0</x:v>
      </x:c>
      <x:c r="H41" s="7" t="str">
        <x:f t="shared" si="1"/>
      </x:c>
      <x:c r="I41" s="6" t="str">
        <x:f t="shared" si="2"/>
      </x:c>
      <x:c r="J41" s="4"/>
      <x:c r="K41" s="4"/>
      <x:c r="L41" s="4"/>
      <x:c r="M41" s="9" t="str">
        <x:f t="shared" si="4"/>
      </x:c>
      <x:c r="N41" s="4" t="inlineStr">
        <x:is>
          <x:t xml:space="preserve">https://barq.com/ar/offers/shein-offer/</x:t>
        </x:is>
      </x:c>
      <x:c r="O41" s="4"/>
      <x:c r="P41" s="4"/>
      <x:c r="Q41" s="4"/>
      <x:c r="R41" s="4"/>
      <x:c r="S41" s="4"/>
      <x:c r="T41" s="5" t="n">
        <x:v>46259.875649202964</x:v>
      </x:c>
      <x:c r="U41" s="35" t="str">
        <x:f t="shared" si="3"/>
      </x:c>
    </x:row>
    <x:row r="42" ht="46.650001525878906" customHeight="1">
      <x:c r="A42" s="8" t="str">
        <x:f t="shared" si="0"/>
      </x:c>
      <x:c r="B42" s="4" t="inlineStr">
        <x:is>
          <x:t xml:space="preserve">Merchant</x:t>
        </x:is>
      </x:c>
      <x:c r="C42" s="4" t="inlineStr">
        <x:is>
          <x:t xml:space="preserve">فايف سكندز صالون</x:t>
        </x:is>
      </x:c>
      <x:c r="D42" s="4" t="inlineStr">
        <x:is>
          <x:t xml:space="preserve">خصم 20% على كل الخدمات من 01/02/2026 إلى 31/12/2026</x:t>
        </x:is>
      </x:c>
      <x:c r="E42" s="5"/>
      <x:c r="F42" s="5" t="n">
        <x:v>46054.0</x:v>
      </x:c>
      <x:c r="G42" s="5" t="n">
        <x:v>46387.0</x:v>
      </x:c>
      <x:c r="H42" s="7" t="str">
        <x:f t="shared" si="1"/>
      </x:c>
      <x:c r="I42" s="6" t="str">
        <x:f t="shared" si="2"/>
      </x:c>
      <x:c r="J42" s="4"/>
      <x:c r="K42" s="4"/>
      <x:c r="L42" s="4"/>
      <x:c r="M42" s="9" t="str">
        <x:f t="shared" si="4"/>
      </x:c>
      <x:c r="N42" s="4" t="inlineStr">
        <x:is>
          <x:t xml:space="preserve">https://barq.com/ar/offers/5-second-salon/</x:t>
        </x:is>
      </x:c>
      <x:c r="O42" s="4"/>
      <x:c r="P42" s="4"/>
      <x:c r="Q42" s="4"/>
      <x:c r="R42" s="4"/>
      <x:c r="S42" s="4"/>
      <x:c r="T42" s="5" t="n">
        <x:v>46259.958868124806</x:v>
      </x:c>
      <x:c r="U42" s="35" t="str">
        <x:f t="shared" si="3"/>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74" priority="6">
      <x:formula>AND($C9&lt;&gt;"",$M9="")</x:formula>
    </x:cfRule>
  </x:conditionalFormatting>
  <x:conditionalFormatting sqref="A9:T499">
    <x:cfRule type="expression" dxfId="73" priority="7">
      <x:formula>$B9="Merchant"</x:formula>
    </x:cfRule>
    <x:cfRule type="expression" dxfId="72" priority="8">
      <x:formula>$B9="Remittance"</x:formula>
    </x:cfRule>
    <x:cfRule type="expression" dxfId="71" priority="15">
      <x:formula>AND($C9&lt;&gt;"",$M9="")</x:formula>
    </x:cfRule>
  </x:conditionalFormatting>
  <x:conditionalFormatting sqref="B9:B499">
    <x:cfRule type="expression" dxfId="70" priority="9">
      <x:formula>B9="Remittance"</x:formula>
    </x:cfRule>
  </x:conditionalFormatting>
  <x:conditionalFormatting sqref="I9:I499">
    <x:cfRule type="expression" dxfId="69" priority="1">
      <x:formula>I9="Active"</x:formula>
    </x:cfRule>
    <x:cfRule type="expression" dxfId="68" priority="2">
      <x:formula>I9="End Date Not Stated"</x:formula>
    </x:cfRule>
    <x:cfRule type="expression" dxfId="67" priority="3">
      <x:formula>I9="Expiring ≤7 Days"</x:formula>
    </x:cfRule>
    <x:cfRule type="expression" dxfId="66" priority="4">
      <x:formula>I9="Expiring 8–30 Days"</x:formula>
    </x:cfRule>
    <x:cfRule type="expression" dxfId="65" priority="5">
      <x:formula>I9="Expired"</x:formula>
    </x:cfRule>
  </x:conditionalFormatting>
  <x:conditionalFormatting sqref="U9:U42">
    <x:cfRule type="expression" dxfId="64" priority="16">
      <x:formula>U9="No direct social post verified"</x:formula>
    </x:cfRule>
  </x:conditionalFormatting>
  <x:dataValidations count="1">
    <x:dataValidation type="list" sqref="B9:B499">
      <x:formula1>"Remittance,Musaned,SADAD,Card,Merchant,Engagement,Other"</x:formula1>
    </x:dataValidation>
  </x:dataValidations>
  <x:pageMargins left="0.7" right="0.7" top="0.75" bottom="0.75" header="0.3" footer="0.3"/>
  <x:tableParts count="1">
    <x:tablePart ns1:id="R2cef492c71ff4799"/>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203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COUNTIFS('Mobily Pay'!$C$9:$C$500,"&lt;&gt;",'Mobily Pay'!$M$9:$M$500,"&lt;&gt;",'Mobily Pay'!$B$9:$B$500,"&lt;&gt;Merchant")</x:f>
        <x:v>5</x:v>
      </x:c>
      <x:c r="B5" s="53"/>
      <x:c r="C5" s="53"/>
      <x:c r="D5" s="53"/>
      <x:c r="E5" s="53" t="n">
        <x:f>COUNTIFS('Mobily Pay'!$C$9:$C$500,"&lt;&gt;",'Mobily Pay'!$M$9:$M$500,"&lt;&gt;",'Mobily Pay'!$B$9:$B$500,"&lt;&gt;Merchant",'Mobily Pay'!$I$9:$I$500,"&lt;&gt;Expired")</x:f>
        <x:v>3</x:v>
      </x:c>
      <x:c r="F5" s="53"/>
      <x:c r="G5" s="53"/>
      <x:c r="H5" s="53"/>
      <x:c r="I5" s="54" t="n">
        <x:f>COUNTIFS('Mobily Pay'!$C$9:$C$500,"&lt;&gt;",'Mobily Pay'!$M$9:$M$500,"&lt;&gt;",'Mobily Pay'!$B$9:$B$500,"&lt;&gt;Merchant",'Mobily Pay'!$I$9:$I$500,"&lt;&gt;Expired",'Mobily Pay'!$B$9:$B$500,"Remittance")</x:f>
        <x:v>2</x:v>
      </x:c>
      <x:c r="J5" s="54"/>
      <x:c r="K5" s="54"/>
      <x:c r="L5" s="54"/>
      <x:c r="M5" s="55" t="n">
        <x:f>COUNTIFS('Mobily Pay'!$C$9:$C$500,"&lt;&gt;",'Mobily Pay'!$M$9:$M$500,"&lt;&gt;",'Mobily Pay'!$B$9:$B$500,"Merchant",'Mobily Pay'!$I$9:$I$500,"&lt;&gt;Expired")</x:f>
        <x:v>1</x:v>
      </x:c>
      <x:c r="N5" s="55"/>
      <x:c r="O5" s="55"/>
      <x:c r="P5" s="55"/>
      <x:c r="Q5" s="53" t="n">
        <x:f>COUNTIFS('Mobily Pay'!$C$9:$C$500,"&lt;&gt;",'Mobily Pay'!$M$9:$M$500,"&lt;&gt;",'Mobily Pay'!$B$9:$B$500,"&lt;&gt;Merchant",'Mobily Pay'!$I$9:$I$500,"Expiring ≤7 Days")+COUNTIFS('Mobily Pay'!$C$9:$C$500,"&lt;&gt;",'Mobily Pay'!$M$9:$M$500,"&lt;&gt;",'Mobily Pay'!$B$9:$B$500,"&lt;&gt;Merchant",'Mobily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Remittance</x:t>
        </x:is>
      </x:c>
      <x:c r="C9" s="4" t="inlineStr">
        <x:is>
          <x:t xml:space="preserve">International Transfer Prize Draw – SAR 110,000</x:t>
        </x:is>
      </x:c>
      <x:c r="D9" s="4" t="inlineStr">
        <x:is>
          <x:t xml:space="preserve">Each qualifying international transfer of SAR 1,000 or more entered a daily draw; 110 customers won SAR 1,000 each.</x:t>
        </x:is>
      </x:c>
      <x:c r="E9" s="5"/>
      <x:c r="F9" s="5" t="n">
        <x:v>46188.0</x:v>
      </x:c>
      <x:c r="G9" s="5" t="n">
        <x:v>46209.0</x:v>
      </x:c>
      <x:c r="H9" s="7" t="n">
        <x:f t="shared" ref="H9:H42" si="1">IF(OR(C9="",G9=""),"",G9-TODAY())</x:f>
        <x:v>-31</x:v>
      </x:c>
      <x:c r="I9" s="6" t="str">
        <x:f t="shared" ref="I9:I42" si="2">IF(C9="","",IF(G9="","End Date Not Stated",IF(G9&lt;TODAY(),"Expired",IF(G9&lt;=TODAY()+7,"Expiring ≤7 Days",IF(G9&lt;=TODAY()+30,"Expiring 8–30 Days","Active")))))</x:f>
        <x:v>Expired</x:v>
      </x:c>
      <x:c r="J9" s="4" t="inlineStr">
        <x:is>
          <x:t xml:space="preserve">International transfers</x:t>
        </x:is>
      </x:c>
      <x:c r="K9" s="4" t="inlineStr">
        <x:is>
          <x:t xml:space="preserve">Five daily winners; SAR 1,000 per winner; 110 total winners and SAR 110,000 total prize pool</x:t>
        </x:is>
      </x:c>
      <x:c r="L9" s="4" t="inlineStr">
        <x:is>
          <x:t xml:space="preserve">Mobily Pay customers making international transfers of SAR 1,000 or more</x:t>
        </x:is>
      </x:c>
      <x:c r="M9" s="9" t="str">
        <x:f t="shared" ref="M9:M42" si="3">IF(C9="","",IF(N9&lt;&gt;"",N9,IF(O9&lt;&gt;"",O9,IF(P9&lt;&gt;"",P9,IF(Q9&lt;&gt;"",Q9,IF(R9&lt;&gt;"",R9,""))))))</x:f>
        <x:v>https://mobilypay.sa/ar/offers/offer-51.html</x:v>
      </x:c>
      <x:c r="N9" s="63" t="inlineStr">
        <x:is>
          <x:t xml:space="preserve">https://mobilypay.sa/ar/offers/offer-51.html</x:t>
        </x:is>
      </x:c>
      <x:c r="O9" s="63" t="inlineStr">
        <x:is>
          <x:t xml:space="preserve">https://www.instagram.com/p/DaVcH86Euq7/</x:t>
        </x:is>
      </x:c>
      <x:c r="P9" s="63" t="inlineStr">
        <x:is>
          <x:t xml:space="preserve">https://x.com/MobilyPay/status/2066845533692707064</x:t>
        </x:is>
      </x:c>
      <x:c r="Q9" s="63" t="inlineStr">
        <x:is>
          <x:t xml:space="preserve">https://www.facebook.com/share/p/14qaPGWCJRZ/</x:t>
        </x:is>
      </x:c>
      <x:c r="R9" s="4"/>
      <x:c r="S9" s="4" t="inlineStr">
        <x:is>
          <x:t xml:space="preserve">Campaign ran from 15 June to 6 July 2026 and is now expired. Cancelled or refunded transfers were excluded.</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Remittance</x:t>
        </x:is>
      </x:c>
      <x:c r="C10" s="4" t="inlineStr">
        <x:is>
          <x:t xml:space="preserve">Zero-Fee International Transfers – Aug–Oct 2026</x:t>
        </x:is>
      </x:c>
      <x:c r="D10" s="4" t="inlineStr">
        <x:is>
          <x:t xml:space="preserve">Qualifying international transfers are offered with zero transfer fees under corridor and amount thresholds stated on the official campaign page.</x:t>
        </x:is>
      </x:c>
      <x:c r="E10" s="5"/>
      <x:c r="F10" s="5" t="n">
        <x:v>46235.0</x:v>
      </x:c>
      <x:c r="G10" s="5" t="n">
        <x:v>46326.0</x:v>
      </x:c>
      <x:c r="H10" s="7" t="n">
        <x:f t="shared" si="1">IF(OR(C10="",G10=""),"",G10-TODAY())</x:f>
        <x:v>86</x:v>
      </x:c>
      <x:c r="I10" s="6" t="str">
        <x:f t="shared" si="2">IF(C10="","",IF(G10="","End Date Not Stated",IF(G10&lt;TODAY(),"Expired",IF(G10&lt;=TODAY()+7,"Expiring ≤7 Days",IF(G10&lt;=TODAY()+30,"Expiring 8–30 Days","Active")))))</x:f>
        <x:v>Active</x:v>
      </x:c>
      <x:c r="J10" s="4" t="inlineStr">
        <x:is>
          <x:t xml:space="preserve">International transfers through MoneyGram</x:t>
        </x:is>
      </x:c>
      <x:c r="K10" s="4" t="inlineStr">
        <x:is>
          <x:t xml:space="preserve">Zero transfer fees on qualifying transfers; standard SAR 9 fees apply below certain corridor/amount thresholds</x:t>
        </x:is>
      </x:c>
      <x:c r="L10" s="4" t="inlineStr">
        <x:is>
          <x:t xml:space="preserve">Mobily Pay customers; corridor, currency, amount threshold, VAT and MoneyGram terms apply</x:t>
        </x:is>
      </x:c>
      <x:c r="M10" s="9" t="str">
        <x:f t="shared" si="3">IF(C10="","",IF(N10&lt;&gt;"",N10,IF(O10&lt;&gt;"",O10,IF(P10&lt;&gt;"",P10,IF(Q10&lt;&gt;"",Q10,IF(R10&lt;&gt;"",R10,""))))))</x:f>
        <x:v>https://mobilypay.sa/ar/offers/offer-56.html</x:v>
      </x:c>
      <x:c r="N10" s="4" t="inlineStr">
        <x:is>
          <x:t xml:space="preserve">https://mobilypay.sa/ar/offers/offer-56.html</x:t>
        </x:is>
      </x:c>
      <x:c r="O10" s="63" t="inlineStr">
        <x:is>
          <x:t xml:space="preserve">https://www.instagram.com/reel/DZuhOEDFRNn/</x:t>
        </x:is>
      </x:c>
      <x:c r="P10" s="4" t="inlineStr">
        <x:is>
          <x:t xml:space="preserve">https://x.com/MobilyPay/status/2090846393133051911</x:t>
        </x:is>
      </x:c>
      <x:c r="Q10" s="63" t="inlineStr">
        <x:is>
          <x:t xml:space="preserve">https://www.facebook.com/mobilypay/videos/transfer-now/829680072943900/</x:t>
        </x:is>
      </x:c>
      <x:c r="R10" s="4"/>
      <x:c r="S10" s="4" t="inlineStr">
        <x:is>
          <x:t xml:space="preserve">Campaign is valid from 1 August to 31 October 2026. The official page lists different fee thresholds by corridor/currency; all listed fees are subject to VAT.</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 Facebook</x:v>
      </x:c>
    </x:row>
    <x:row r="11" ht="46.650001525878906" customHeight="1">
      <x:c r="A11" s="8" t="n">
        <x:f t="shared" si="0">IF(C11="","",ROW()-8)</x:f>
        <x:v>3</x:v>
      </x:c>
      <x:c r="B11" s="4" t="inlineStr">
        <x:is>
          <x:t xml:space="preserve">Remittance</x:t>
        </x:is>
      </x:c>
      <x:c r="C11" s="4" t="inlineStr">
        <x:is>
          <x:t xml:space="preserve">Weekly International Transfer Prizes – Up to SAR 20,000</x:t>
        </x:is>
      </x:c>
      <x:c r="D11" s="4" t="inlineStr">
        <x:is>
          <x:t xml:space="preserve">International transfers generate entries for weekly prizes of up to SAR 20,000.</x:t>
        </x:is>
      </x:c>
      <x:c r="E11" s="5"/>
      <x:c r="F11" s="5"/>
      <x:c r="G11" s="5"/>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x:t>
        </x:is>
      </x:c>
      <x:c r="K11" s="4" t="inlineStr">
        <x:is>
          <x:t xml:space="preserve">Weekly prizes up to SAR 20,000; no minimum transfer stated in the post</x:t>
        </x:is>
      </x:c>
      <x:c r="L11" s="4" t="inlineStr">
        <x:is>
          <x:t xml:space="preserve">Mobily Pay international-transfer customers</x:t>
        </x:is>
      </x:c>
      <x:c r="M11" s="9" t="str">
        <x:f t="shared" si="3">IF(C11="","",IF(N11&lt;&gt;"",N11,IF(O11&lt;&gt;"",O11,IF(P11&lt;&gt;"",P11,IF(Q11&lt;&gt;"",Q11,IF(R11&lt;&gt;"",R11,""))))))</x:f>
        <x:v>https://www.facebook.com/mobilypay/videos/sar-20000-is-waiting-for-you-make-an-international-transfer-with-mobilypay-and-i/4300117560266135/</x:v>
      </x:c>
      <x:c r="N11" s="4"/>
      <x:c r="O11" s="4"/>
      <x:c r="P11" s="4"/>
      <x:c r="Q11" s="63" t="inlineStr">
        <x:is>
          <x:t xml:space="preserve">https://www.facebook.com/mobilypay/videos/sar-20000-is-waiting-for-you-make-an-international-transfer-with-mobilypay-and-i/4300117560266135/</x:t>
        </x:is>
      </x:c>
      <x:c r="R11" s="4"/>
      <x:c r="S11" s="4" t="inlineStr">
        <x:is>
          <x:t xml:space="preserve">Campaign end date is not stated in the official video.</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Facebook</x:v>
      </x:c>
    </x:row>
    <x:row r="12" ht="46.650001525878906" customHeight="1">
      <x:c r="A12" s="8" t="n">
        <x:f t="shared" si="0">IF(C12="","",ROW()-8)</x:f>
        <x:v>4</x:v>
      </x:c>
      <x:c r="B12" s="4" t="inlineStr">
        <x:is>
          <x:t xml:space="preserve">Merchant</x:t>
        </x:is>
      </x:c>
      <x:c r="C12" s="4" t="inlineStr">
        <x:is>
          <x:t xml:space="preserve">Alpha Medical Laboratories: 50% Off</x:t>
        </x:is>
      </x:c>
      <x:c r="D12" s="4" t="inlineStr">
        <x:is>
          <x:t xml:space="preserve">50% off individual laboratory tests.</x:t>
        </x:is>
      </x:c>
      <x:c r="E12" s="5"/>
      <x:c r="F12" s="5" t="n">
        <x:v>45505.0</x:v>
      </x:c>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Healthcare and laboratory services</x:t>
        </x:is>
      </x:c>
      <x:c r="K12" s="4" t="inlineStr">
        <x:is>
          <x:t xml:space="preserve">50% discount on individual laboratory tests</x:t>
        </x:is>
      </x:c>
      <x:c r="L12" s="4" t="inlineStr">
        <x:is>
          <x:t xml:space="preserve">Mobily Pay Platinum and Signature cards</x:t>
        </x:is>
      </x:c>
      <x:c r="M12" s="9" t="str">
        <x:f t="shared" si="3">IF(C12="","",IF(N12&lt;&gt;"",N12,IF(O12&lt;&gt;"",O12,IF(P12&lt;&gt;"",P12,IF(Q12&lt;&gt;"",Q12,IF(R12&lt;&gt;"",R12,""))))))</x:f>
        <x:v>https://mobilypay.sa/offer-details.html?id=offer-6</x:v>
      </x:c>
      <x:c r="N12" s="4" t="inlineStr">
        <x:is>
          <x:t xml:space="preserve">https://mobilypay.sa/offer-details.html?id=offer-6</x:t>
        </x:is>
      </x:c>
      <x:c r="O12" s="4"/>
      <x:c r="P12" s="4"/>
      <x:c r="Q12" s="4"/>
      <x:c r="R12" s="4"/>
      <x:c r="S12" s="4" t="inlineStr">
        <x:is>
          <x:t xml:space="preserve">Offer applies to individual tests under the official terms.</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Card</x:t>
        </x:is>
      </x:c>
      <x:c r="C13" s="4" t="inlineStr">
        <x:is>
          <x:t xml:space="preserve">Summer Card Offers – Fees on Us &amp; Up to 2% Cashback</x:t>
        </x:is>
      </x:c>
      <x:c r="D13" s="4" t="inlineStr">
        <x:is>
          <x:t xml:space="preserve">Summer campaign offering 0% fees on eligible international card transactions, cashback of up to 2%, and free issuance of the physical Mobily Pay card.</x:t>
        </x:is>
      </x:c>
      <x:c r="E13" s="5"/>
      <x:c r="F13" s="5" t="n">
        <x:v>46222.0</x:v>
      </x:c>
      <x:c r="G13" s="5" t="n">
        <x:v>46253.0</x:v>
      </x:c>
      <x:c r="H13" s="7" t="n">
        <x:f t="shared" si="1">IF(OR(C13="",G13=""),"",G13-TODAY())</x:f>
        <x:v>13</x:v>
      </x:c>
      <x:c r="I13" s="6" t="str">
        <x:f t="shared" si="2">IF(C13="","",IF(G13="","End Date Not Stated",IF(G13&lt;TODAY(),"Expired",IF(G13&lt;=TODAY()+7,"Expiring ≤7 Days",IF(G13&lt;=TODAY()+30,"Expiring 8–30 Days","Active")))))</x:f>
        <x:v>Expiring 8–30 Days</x:v>
      </x:c>
      <x:c r="J13" s="4" t="inlineStr">
        <x:is>
          <x:t xml:space="preserve">Mobily Pay cardholders; eligible card types and transactions are subject to the official terms and conditions.</x:t>
        </x:is>
      </x:c>
      <x:c r="K13" s="1" t="inlineStr">
        <x:is>
          <x:t xml:space="preserve">0% fees on eligible international card transactions, cashback up to 2%, and free physical card issuance.</x:t>
        </x:is>
      </x:c>
      <x:c r="L13" s="4"/>
      <x:c r="M13" s="9" t="str">
        <x:f>IF(C13="","",IF(N13&lt;&gt;"",N13,IF(O13&lt;&gt;"",O13,IF(P13&lt;&gt;"",P13,IF(Q13&lt;&gt;"",Q13,IF(R13&lt;&gt;"",R13,""))))))</x:f>
        <x:v>https://mobilypay.sa/offer-details.html?id=offer-53</x:v>
      </x:c>
      <x:c r="N13" s="63" t="inlineStr">
        <x:is>
          <x:t xml:space="preserve">https://mobilypay.sa/offer-details.html?id=offer-53</x:t>
        </x:is>
      </x:c>
      <x:c r="O13" s="4"/>
      <x:c r="P13" s="63" t="inlineStr">
        <x:is>
          <x:t xml:space="preserve">https://x.com/MobilyPay/status/2080699530656510080</x:t>
        </x:is>
      </x:c>
      <x:c r="Q13" s="63" t="inlineStr">
        <x:is>
          <x:t xml:space="preserve">https://www.facebook.com/mobilypay/posts/1481106724035443/</x:t>
        </x:is>
      </x:c>
      <x:c r="R13" s="63" t="inlineStr">
        <x:is>
          <x:t xml:space="preserve">https://www.tiktok.com/@mobilypay/video/7666785860884434183?is_from_webapp=1&amp;sender_device=pc&amp;web_id=7646835061455799828</x:t>
        </x:is>
      </x:c>
      <x:c r="S13" s="4" t="inlineStr">
        <x:is>
          <x:t xml:space="preserve">Campaign is valid from 19 July to 19 August 2026. It includes 0% international transaction fees for eligible newly issued Platinum and Signature Visa cards, free plastic-card issuance, and eligible POS/e-commerce purchases.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X, Facebook, TikTok</x:v>
      </x:c>
    </x:row>
    <x:row r="14" ht="46.650001525878906" customHeight="1">
      <x:c r="A14" s="8" t="n">
        <x:f t="shared" si="0">IF(C14="","",ROW()-8)</x:f>
        <x:v>6</x:v>
      </x:c>
      <x:c r="B14" s="4" t="inlineStr">
        <x:is>
          <x:t xml:space="preserve">Other</x:t>
        </x:is>
      </x:c>
      <x:c r="C14" s="4" t="inlineStr">
        <x:is>
          <x:t xml:space="preserve">30% Bonus Alfursan Miles</x:t>
        </x:is>
      </x:c>
      <x:c r="D14" s="4" t="inlineStr">
        <x:is>
          <x:t xml:space="preserve">Convert eligible Mobily Pay Xp+ points into Alfursan Miles and receive 30% additional bonus miles.</x:t>
        </x:is>
      </x:c>
      <x:c r="E14" s="5"/>
      <x:c r="F14" s="5" t="n">
        <x:v>46218.0</x:v>
      </x:c>
      <x:c r="G14" s="5" t="n">
        <x:v>46234.0</x:v>
      </x:c>
      <x:c r="H14" s="7" t="n">
        <x:f t="shared" si="1">IF(OR(C14="",G14=""),"",G14-TODAY())</x:f>
        <x:v>-6</x:v>
      </x:c>
      <x:c r="I14" s="6" t="str">
        <x:f t="shared" si="2">IF(C14="","",IF(G14="","End Date Not Stated",IF(G14&lt;TODAY(),"Expired",IF(G14&lt;=TODAY()+7,"Expiring ≤7 Days",IF(G14&lt;=TODAY()+30,"Expiring 8–30 Days","Active")))))</x:f>
        <x:v>Expired</x:v>
      </x:c>
      <x:c r="J14" s="4" t="inlineStr">
        <x:is>
          <x:t xml:space="preserve">Loyalty points conversion / Alfursan Miles</x:t>
        </x:is>
      </x:c>
      <x:c r="K14" s="4" t="inlineStr">
        <x:is>
          <x:t xml:space="preserve">30% bonus Alfursan Miles when converting eligible Mobily Pay Xp+ points into Alfursan Miles.</x:t>
        </x:is>
      </x:c>
      <x:c r="L14" s="4" t="inlineStr">
        <x:is>
          <x:t xml:space="preserve">Mobily Pay customers with eligible Xp+ points and an active Alfursan membership.</x:t>
        </x:is>
      </x:c>
      <x:c r="M14" s="9" t="str">
        <x:f t="shared" si="3">IF(C14="","",IF(N14&lt;&gt;"",N14,IF(O14&lt;&gt;"",O14,IF(P14&lt;&gt;"",P14,IF(Q14&lt;&gt;"",Q14,IF(R14&lt;&gt;"",R14,""))))))</x:f>
        <x:v>https://mobilypay.sa/offer-details.html?id=offer-54</x:v>
      </x:c>
      <x:c r="N14" s="63" t="inlineStr">
        <x:is>
          <x:t xml:space="preserve">https://mobilypay.sa/offer-details.html?id=offer-54</x:t>
        </x:is>
      </x:c>
      <x:c r="O14" s="63" t="inlineStr">
        <x:is>
          <x:t xml:space="preserve">https://www.instagram.com/p/DbDoZvgjlV9/</x:t>
        </x:is>
      </x:c>
      <x:c r="P14" s="63" t="inlineStr">
        <x:is>
          <x:t xml:space="preserve">https://x.com/MobilyPay/status/2080986707143413921</x:t>
        </x:is>
      </x:c>
      <x:c r="Q14" s="63" t="inlineStr">
        <x:is>
          <x:t xml:space="preserve">https://www.facebook.com/mobilypay/posts/1478454067634042/</x:t>
        </x:is>
      </x:c>
      <x:c r="R14" s="4"/>
      <x:c r="S14" s="4" t="inlineStr">
        <x:is>
          <x:t xml:space="preserve">Offer ended on 31 July 2026 and is now expired.</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Instagram, X, Facebook</x:v>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3"/>
      </x:c>
      <x:c r="N15" s="4"/>
      <x:c r="O15" s="4"/>
      <x:c r="P15" s="4"/>
      <x:c r="Q15" s="4"/>
      <x:c r="R15" s="4"/>
      <x:c r="S15" s="4"/>
      <x:c r="T15" s="5"/>
      <x:c r="U15" s="35" t="str">
        <x:f t="shared" si="4"/>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3"/>
      </x:c>
      <x:c r="N16" s="4"/>
      <x:c r="O16" s="4"/>
      <x:c r="P16" s="4"/>
      <x:c r="Q16" s="4"/>
      <x:c r="R16" s="4"/>
      <x:c r="S16" s="4"/>
      <x:c r="T16" s="5"/>
      <x:c r="U16" s="35" t="str">
        <x:f t="shared" si="4"/>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3"/>
      </x:c>
      <x:c r="N17" s="4"/>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12 L13:T13 A13:J13 A14:T42">
    <x:cfRule type="expression" dxfId="63" priority="6">
      <x:formula>AND($C9&lt;&gt;"",$M9="")</x:formula>
    </x:cfRule>
  </x:conditionalFormatting>
  <x:conditionalFormatting sqref="A9:T12 L13:T13 A13:J13 A14:T500">
    <x:cfRule type="expression" dxfId="62" priority="7">
      <x:formula>$B9="Merchant"</x:formula>
    </x:cfRule>
    <x:cfRule type="expression" dxfId="61" priority="8">
      <x:formula>$B9="Remittance"</x:formula>
    </x:cfRule>
    <x:cfRule type="expression" dxfId="60" priority="15">
      <x:formula>AND($C9&lt;&gt;"",$M9="")</x:formula>
    </x:cfRule>
  </x:conditionalFormatting>
  <x:conditionalFormatting sqref="B9:B500">
    <x:cfRule type="expression" dxfId="59" priority="9">
      <x:formula>B9="Remittance"</x:formula>
    </x:cfRule>
  </x:conditionalFormatting>
  <x:conditionalFormatting sqref="I9:I42">
    <x:cfRule type="expression" dxfId="58" priority="1">
      <x:formula>I9="Active"</x:formula>
    </x:cfRule>
    <x:cfRule type="expression" dxfId="57" priority="2">
      <x:formula>I9="End Date Not Stated"</x:formula>
    </x:cfRule>
    <x:cfRule type="expression" dxfId="56" priority="3">
      <x:formula>I9="Expiring ≤7 Days"</x:formula>
    </x:cfRule>
    <x:cfRule type="expression" dxfId="55" priority="4">
      <x:formula>I9="Expiring 8–30 Days"</x:formula>
    </x:cfRule>
    <x:cfRule type="expression" dxfId="54" priority="5">
      <x:formula>I9="Expired"</x:formula>
    </x:cfRule>
  </x:conditionalFormatting>
  <x:conditionalFormatting sqref="I9:I500">
    <x:cfRule type="expression" dxfId="53" priority="10">
      <x:formula>I9="Active"</x:formula>
    </x:cfRule>
    <x:cfRule type="expression" dxfId="52" priority="11">
      <x:formula>I9="End Date Not Stated"</x:formula>
    </x:cfRule>
    <x:cfRule type="expression" dxfId="51" priority="12">
      <x:formula>I9="Expiring ≤7 Days"</x:formula>
    </x:cfRule>
    <x:cfRule type="expression" dxfId="50" priority="13">
      <x:formula>I9="Expiring 8–30 Days"</x:formula>
    </x:cfRule>
    <x:cfRule type="expression" dxfId="49" priority="14">
      <x:formula>I9="Expired"</x:formula>
    </x:cfRule>
  </x:conditionalFormatting>
  <x:conditionalFormatting sqref="U9:U42">
    <x:cfRule type="expression" dxfId="48"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f56c8f61049c4388"/>
  </x:tableParts>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239</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COUNTIFS(tiqmo!$C$9:$C$500,"&lt;&gt;",tiqmo!$M$9:$M$500,"&lt;&gt;",tiqmo!$B$9:$B$500,"&lt;&gt;Merchant")</x:f>
        <x:v>5</x:v>
      </x:c>
      <x:c r="B5" s="53"/>
      <x:c r="C5" s="53"/>
      <x:c r="D5" s="53"/>
      <x:c r="E5" s="53" t="n">
        <x:f>COUNTIFS(tiqmo!$C$9:$C$500,"&lt;&gt;",tiqmo!$M$9:$M$500,"&lt;&gt;",tiqmo!$B$9:$B$500,"&lt;&gt;Merchant",tiqmo!$I$9:$I$500,"&lt;&gt;Expired")</x:f>
        <x:v>3</x:v>
      </x:c>
      <x:c r="F5" s="53"/>
      <x:c r="G5" s="53"/>
      <x:c r="H5" s="53"/>
      <x:c r="I5" s="54" t="n">
        <x:f>COUNTIFS(tiqmo!$C$9:$C$500,"&lt;&gt;",tiqmo!$M$9:$M$500,"&lt;&gt;",tiqmo!$B$9:$B$500,"&lt;&gt;Merchant",tiqmo!$I$9:$I$500,"&lt;&gt;Expired",tiqmo!$B$9:$B$500,"Remittance")</x:f>
        <x:v>1</x:v>
      </x:c>
      <x:c r="J5" s="54"/>
      <x:c r="K5" s="54"/>
      <x:c r="L5" s="54"/>
      <x:c r="M5" s="55" t="n">
        <x:f>COUNTIFS(tiqmo!$C$9:$C$500,"&lt;&gt;",tiqmo!$M$9:$M$500,"&lt;&gt;",tiqmo!$B$9:$B$500,"Merchant",tiqmo!$I$9:$I$500,"&lt;&gt;Expired")</x:f>
        <x:v>0</x:v>
      </x:c>
      <x:c r="N5" s="55"/>
      <x:c r="O5" s="55"/>
      <x:c r="P5" s="55"/>
      <x:c r="Q5" s="53" t="n">
        <x:f>COUNTIFS(tiqmo!$C$9:$C$500,"&lt;&gt;",tiqmo!$M$9:$M$500,"&lt;&gt;",tiqmo!$B$9:$B$500,"&lt;&gt;Merchant",tiqmo!$I$9:$I$500,"Expiring ≤7 Days")+COUNTIFS(tiqmo!$C$9:$C$500,"&lt;&gt;",tiqmo!$M$9:$M$500,"&lt;&gt;",tiqmo!$B$9:$B$500,"&lt;&gt;Merchant",tiqmo!$I$9:$I$500,"Expiring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SADAD</x:t>
        </x:is>
      </x:c>
      <x:c r="C9" s="4" t="inlineStr">
        <x:is>
          <x:t xml:space="preserve">SADAD Daily Cashback</x:t>
        </x:is>
      </x:c>
      <x:c r="D9" s="4" t="inlineStr">
        <x:is>
          <x:t xml:space="preserve">Pay a SADAD bill for a daily chance to win SAR 1,000 cashback.</x:t>
        </x:is>
      </x:c>
      <x:c r="E9" s="5" t="n">
        <x:v>46227.0</x:v>
      </x:c>
      <x:c r="F9" s="5"/>
      <x:c r="G9" s="5"/>
      <x:c r="H9" s="7" t="str">
        <x:f t="shared" ref="H9:H42" si="1">IF(OR(C9="",G9=""),"",G9-TODAY())</x:f>
      </x:c>
      <x:c r="I9" s="6" t="str">
        <x:f t="shared" ref="I9:I42" si="2">IF(C9="","",IF(G9="","End Date Not Stated",IF(G9&lt;TODAY(),"Expired",IF(G9&lt;=TODAY()+7,"Expiring ≤7 Days",IF(G9&lt;=TODAY()+30,"Expiring 8–30 Days","Active")))))</x:f>
        <x:v>End Date Not Stated</x:v>
      </x:c>
      <x:c r="J9" s="4" t="inlineStr">
        <x:is>
          <x:t xml:space="preserve">SADAD bill payments</x:t>
        </x:is>
      </x:c>
      <x:c r="K9" s="4" t="inlineStr">
        <x:is>
          <x:t xml:space="preserve">Daily draw for SAR 1,000 cashback</x:t>
        </x:is>
      </x:c>
      <x:c r="L9" s="4" t="inlineStr">
        <x:is>
          <x:t xml:space="preserve">tiqmo customers using SADAD</x:t>
        </x:is>
      </x:c>
      <x:c r="M9" s="9" t="str">
        <x:f t="shared" ref="M9:M42" si="3">IF(C9="","",IF(N9&lt;&gt;"",N9,IF(O9&lt;&gt;"",O9,IF(P9&lt;&gt;"",P9,IF(Q9&lt;&gt;"",Q9,IF(R9&lt;&gt;"",R9,""))))))</x:f>
        <x:v>https://www.instagram.com/tiqmoksa/p/DbLZ9Yfj6dy/</x:v>
      </x:c>
      <x:c r="N9" s="4"/>
      <x:c r="O9" s="4" t="inlineStr">
        <x:is>
          <x:t xml:space="preserve">https://www.instagram.com/tiqmoksa/p/DbLZ9Yfj6dy/</x:t>
        </x:is>
      </x:c>
      <x:c r="P9" s="63" t="inlineStr">
        <x:is>
          <x:t xml:space="preserve">https://x.com/tiqmo/status/2080654590756978954</x:t>
        </x:is>
      </x:c>
      <x:c r="Q9" s="63" t="inlineStr">
        <x:is>
          <x:t xml:space="preserve">https://www.facebook.com/Tiqmoksa/videos/sar-1000-cashback-every-daypay-your-bills-through-sadad-tiqmo-and-enter-the-dail/28285312344409396/</x:t>
        </x:is>
      </x:c>
      <x:c r="R9" s="4"/>
      <x:c r="S9" s="4" t="inlineStr">
        <x:is>
          <x:t xml:space="preserve">Campaign end date is not stated in the official post.</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Merchant</x:t>
        </x:is>
      </x:c>
      <x:c r="C10" s="4" t="inlineStr">
        <x:is>
          <x:t xml:space="preserve">Unlimited 5% Off Game Vouchers</x:t>
        </x:is>
      </x:c>
      <x:c r="D10" s="4" t="inlineStr">
        <x:is>
          <x:t xml:space="preserve">Unlimited 5% discount on eligible gaming vouchers.</x:t>
        </x:is>
      </x:c>
      <x:c r="E10" s="5" t="n">
        <x:v>46226.0</x:v>
      </x:c>
      <x:c r="F10" s="5" t="n">
        <x:v>46204.0</x:v>
      </x:c>
      <x:c r="G10" s="5" t="n">
        <x:v>46234.0</x:v>
      </x:c>
      <x:c r="H10" s="7" t="n">
        <x:f t="shared" si="1">IF(OR(C10="",G10=""),"",G10-TODAY())</x:f>
        <x:v>-6</x:v>
      </x:c>
      <x:c r="I10" s="6" t="str">
        <x:f t="shared" si="2">IF(C10="","",IF(G10="","End Date Not Stated",IF(G10&lt;TODAY(),"Expired",IF(G10&lt;=TODAY()+7,"Expiring ≤7 Days",IF(G10&lt;=TODAY()+30,"Expiring 8–30 Days","Active")))))</x:f>
        <x:v>Expired</x:v>
      </x:c>
      <x:c r="J10" s="4" t="inlineStr">
        <x:is>
          <x:t xml:space="preserve">Gaming-voucher purchases</x:t>
        </x:is>
      </x:c>
      <x:c r="K10" s="4" t="inlineStr">
        <x:is>
          <x:t xml:space="preserve">Unlimited 5% discount</x:t>
        </x:is>
      </x:c>
      <x:c r="L10" s="4" t="inlineStr">
        <x:is>
          <x:t xml:space="preserve">Eligible tiqmo card purchases</x:t>
        </x:is>
      </x:c>
      <x:c r="M10" s="9" t="str">
        <x:f t="shared" si="3">IF(C10="","",IF(N10&lt;&gt;"",N10,IF(O10&lt;&gt;"",O10,IF(P10&lt;&gt;"",P10,IF(Q10&lt;&gt;"",Q10,IF(R10&lt;&gt;"",R10,""))))))</x:f>
        <x:v>https://www.instagram.com/tiqmoksa/p/DbJJsK0IEPD/</x:v>
      </x:c>
      <x:c r="N10" s="4"/>
      <x:c r="O10" s="4" t="inlineStr">
        <x:is>
          <x:t xml:space="preserve">https://www.instagram.com/tiqmoksa/p/DbJJsK0IEPD/</x:t>
        </x:is>
      </x:c>
      <x:c r="P10" s="4"/>
      <x:c r="Q10" s="4"/>
      <x:c r="R10" s="4"/>
      <x:c r="S10" s="4" t="inlineStr">
        <x:is>
          <x:t xml:space="preserve">Offer was valid from 1 July through 31 July 2026 and is now expired.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Instagram</x:v>
      </x:c>
    </x:row>
    <x:row r="11" ht="46.650001525878906" customHeight="1">
      <x:c r="A11" s="8" t="n">
        <x:f t="shared" si="0">IF(C11="","",ROW()-8)</x:f>
        <x:v>3</x:v>
      </x:c>
      <x:c r="B11" s="4" t="inlineStr">
        <x:is>
          <x:t xml:space="preserve">Remittance</x:t>
        </x:is>
      </x:c>
      <x:c r="C11" s="4" t="inlineStr">
        <x:is>
          <x:t xml:space="preserve">100% Cashback on International Transfers – May Edition</x:t>
        </x:is>
      </x:c>
      <x:c r="D11" s="4" t="inlineStr">
        <x:is>
          <x:t xml:space="preserve">International transfers entered a daily draw for a chance to receive the full transfer amount back.</x:t>
        </x:is>
      </x:c>
      <x:c r="E11" s="5"/>
      <x:c r="F11" s="5"/>
      <x:c r="G11" s="5" t="n">
        <x:v>46173.0</x:v>
      </x:c>
      <x:c r="H11" s="7" t="n">
        <x:f t="shared" si="1">IF(OR(C11="",G11=""),"",G11-TODAY())</x:f>
        <x:v>-67</x:v>
      </x:c>
      <x:c r="I11" s="6" t="str">
        <x:f t="shared" si="2">IF(C11="","",IF(G11="","End Date Not Stated",IF(G11&lt;TODAY(),"Expired",IF(G11&lt;=TODAY()+7,"Expiring ≤7 Days",IF(G11&lt;=TODAY()+30,"Expiring 8–30 Days","Active")))))</x:f>
        <x:v>Expired</x:v>
      </x:c>
      <x:c r="J11" s="4" t="inlineStr">
        <x:is>
          <x:t xml:space="preserve">International transfers</x:t>
        </x:is>
      </x:c>
      <x:c r="K11" s="4" t="inlineStr">
        <x:is>
          <x:t xml:space="preserve">100% cashback on the transfer amount; 10 daily winners; no minimum stated</x:t>
        </x:is>
      </x:c>
      <x:c r="L11" s="4" t="inlineStr">
        <x:is>
          <x:t xml:space="preserve">tiqmo international-transfer customers</x:t>
        </x:is>
      </x:c>
      <x:c r="M11" s="9" t="str">
        <x:f t="shared" si="3">IF(C11="","",IF(N11&lt;&gt;"",N11,IF(O11&lt;&gt;"",O11,IF(P11&lt;&gt;"",P11,IF(Q11&lt;&gt;"",Q11,IF(R11&lt;&gt;"",R11,""))))))</x:f>
        <x:v>https://www.instagram.com/p/DXR2gtKkiRW/</x:v>
      </x:c>
      <x:c r="N11" s="4"/>
      <x:c r="O11" s="4" t="inlineStr">
        <x:is>
          <x:t xml:space="preserve">https://www.instagram.com/p/DXR2gtKkiRW/</x:t>
        </x:is>
      </x:c>
      <x:c r="P11" s="63" t="inlineStr">
        <x:is>
          <x:t xml:space="preserve">https://x.com/tiqmo/status/2069088275881677303</x:t>
        </x:is>
      </x:c>
      <x:c r="Q11" s="4" t="inlineStr">
        <x:is>
          <x:t xml:space="preserve">https://www.facebook.com/Tiqmoksa/posts/tiqmo-is-everywhereenjoy-100-cashback-on-international-transfers-with-10-daily-w/943640441763288/ https://www.facebook.com/Tiqmoksa/photos/congrats-may-11-100-cashback-winners-are-herehttpstiqmogolinkjxfro/966768766117122/</x:t>
        </x:is>
      </x:c>
      <x:c r="R11" s="4"/>
      <x:c r="S11" s="4" t="inlineStr">
        <x:is>
          <x:t xml:space="preserve">The winner-announcement post states that the May edition remained available until 31 May 2026; the campaign is expired.</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Monthly International Transfer Streak Cashback</x:t>
        </x:is>
      </x:c>
      <x:c r="D12" s="4" t="inlineStr">
        <x:is>
          <x:t xml:space="preserve">Transfer SAR 1,500 or more internationally each month to receive increasing monthly cashback while maintaining the monthly streak.</x:t>
        </x:is>
      </x:c>
      <x:c r="E12" s="5"/>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x:t>
        </x:is>
      </x:c>
      <x:c r="K12" s="4" t="inlineStr">
        <x:is>
          <x:t xml:space="preserve">SAR 1,500+ monthly transfer threshold, increasing monthly cashback, and zero transfer fees</x:t>
        </x:is>
      </x:c>
      <x:c r="L12" s="4" t="inlineStr">
        <x:is>
          <x:t xml:space="preserve">tiqmo customers making qualifying monthly international transfers</x:t>
        </x:is>
      </x:c>
      <x:c r="M12" s="9" t="str">
        <x:f t="shared" si="3">IF(C12="","",IF(N12&lt;&gt;"",N12,IF(O12&lt;&gt;"",O12,IF(P12&lt;&gt;"",P12,IF(Q12&lt;&gt;"",Q12,IF(R12&lt;&gt;"",R12,""))))))</x:f>
        <x:v>https://www.instagram.com/p/DbBUcjiIHS1/</x:v>
      </x:c>
      <x:c r="N12" s="4"/>
      <x:c r="O12" s="4" t="inlineStr">
        <x:is>
          <x:t xml:space="preserve">https://www.instagram.com/p/DbBUcjiIHS1/</x:t>
        </x:is>
      </x:c>
      <x:c r="P12" s="63" t="inlineStr">
        <x:is>
          <x:t xml:space="preserve">https://x.com/tiqmo/status/2079235327240368574</x:t>
        </x:is>
      </x:c>
      <x:c r="Q12" s="63" t="inlineStr">
        <x:is>
          <x:t xml:space="preserve">https://www.facebook.com/Tiqmoksa/posts/your-monthly-cashback-is-heretransfer-internationally-sar-1500-or-more-every-mon/1027166950077303/</x:t>
        </x:is>
      </x:c>
      <x:c r="R12" s="4"/>
      <x:c r="S12" s="4" t="inlineStr">
        <x:is>
          <x:t xml:space="preserve">Current official posts continue to promote Monthly Streak Rewards. The official post does not state a campaign end date.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Instagram, X, Facebook</x:v>
      </x:c>
    </x:row>
    <x:row r="13" ht="46.650001525878906" customHeight="1">
      <x:c r="A13" s="8" t="n">
        <x:f t="shared" si="0">IF(C13="","",ROW()-8)</x:f>
        <x:v>5</x:v>
      </x:c>
      <x:c r="B13" s="4" t="inlineStr">
        <x:is>
          <x:t xml:space="preserve">Card</x:t>
        </x:is>
      </x:c>
      <x:c r="C13" s="4" t="inlineStr">
        <x:is>
          <x:t xml:space="preserve">Zero International Card Transaction Fees</x:t>
        </x:is>
      </x:c>
      <x:c r="D13" s="4" t="inlineStr">
        <x:is>
          <x:t xml:space="preserve">0% fees on eligible international POS purchases and international ATM withdrawals outside Saudi Arabia.</x:t>
        </x:is>
      </x:c>
      <x:c r="E13" s="5"/>
      <x:c r="F13" s="5" t="n">
        <x:v>46143.0</x:v>
      </x:c>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International POS purchases and international ATM withdrawals</x:t>
        </x:is>
      </x:c>
      <x:c r="K13" s="4" t="inlineStr">
        <x:is>
          <x:t xml:space="preserve">0% international transaction fees and zero fees on overseas ATM withdrawals</x:t>
        </x:is>
      </x:c>
      <x:c r="L13" s="4" t="inlineStr">
        <x:is>
          <x:t xml:space="preserve">tiqmo customers using eligible cards while travelling outside Saudi Arabia</x:t>
        </x:is>
      </x:c>
      <x:c r="M13" s="9" t="str">
        <x:f t="shared" si="3">IF(C13="","",IF(N13&lt;&gt;"",N13,IF(O13&lt;&gt;"",O13,IF(P13&lt;&gt;"",P13,IF(Q13&lt;&gt;"",Q13,IF(R13&lt;&gt;"",R13,""))))))</x:f>
        <x:v>https://www.tiqmo.com/ar/offers</x:v>
      </x:c>
      <x:c r="N13" s="4" t="inlineStr">
        <x:is>
          <x:t xml:space="preserve">https://www.tiqmo.com/ar/offers</x:t>
        </x:is>
      </x:c>
      <x:c r="O13" s="63" t="inlineStr">
        <x:is>
          <x:t xml:space="preserve">https://www.instagram.com/p/DbQxYrrjfrH/</x:t>
        </x:is>
      </x:c>
      <x:c r="P13" s="63" t="inlineStr">
        <x:is>
          <x:t xml:space="preserve">https://x.com/tiqmo/status/2082496811798085847</x:t>
        </x:is>
      </x:c>
      <x:c r="Q13" s="63" t="inlineStr">
        <x:is>
          <x:t xml:space="preserve">https://www.facebook.com/Tiqmoksa/posts/sar-250000-cashbacksimple-every-riyal-you-spend-a-chance-to-win-sar-250000-every/1001313055996026/</x:t>
        </x:is>
      </x:c>
      <x:c r="R13" s="63" t="inlineStr">
        <x:is>
          <x:t xml:space="preserve">https://www.tiktok.com/@tiqmoksa/video/7666867037418867985</x:t>
        </x:is>
      </x:c>
      <x:c r="S13" s="4" t="inlineStr">
        <x:is>
          <x:t xml:space="preserve">Offer is valid from 1 May to 31 December 2026. It applies outside Saudi Arabia and excludes international online stores, websites and mobile applications. tiqmo standard terms apply.</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 Facebook, TikTok</x:v>
      </x:c>
    </x:row>
    <x:row r="14" ht="46.650001525878906" customHeight="1">
      <x:c r="A14" s="8" t="n">
        <x:f t="shared" si="0">IF(C14="","",ROW()-8)</x:f>
        <x:v>6</x:v>
      </x:c>
      <x:c r="B14" s="4"/>
      <x:c r="C14" s="4"/>
      <x:c r="D14" s="4"/>
      <x:c r="E14" s="5"/>
      <x:c r="F14" s="5"/>
      <x:c r="G14" s="5"/>
      <x:c r="H14" s="7" t="n">
        <x:f t="shared" si="1">IF(OR(C14="",G14=""),"",G14-TODAY())</x:f>
        <x:v>-6</x:v>
      </x:c>
      <x:c r="I14" s="6" t="str">
        <x:f t="shared" si="2">IF(C14="","",IF(G14="","End Date Not Stated",IF(G14&lt;TODAY(),"Expired",IF(G14&lt;=TODAY()+7,"Expiring ≤7 Days",IF(G14&lt;=TODAY()+30,"Expiring 8–30 Days","Active")))))</x:f>
        <x:v>Expired</x:v>
      </x:c>
      <x:c r="J14" s="4"/>
      <x:c r="K14" s="4"/>
      <x:c r="L14" s="4"/>
      <x:c r="M14" s="9" t="str">
        <x:f t="shared" si="3">IF(C14="","",IF(N14&lt;&gt;"",N14,IF(O14&lt;&gt;"",O14,IF(P14&lt;&gt;"",P14,IF(Q14&lt;&gt;"",Q14,IF(R14&lt;&gt;"",R14,""))))))</x:f>
        <x:v>https://www.tiqmo.com/ar/offers</x:v>
      </x:c>
      <x:c r="N14" s="4"/>
      <x:c r="O14" s="4"/>
      <x:c r="P14" s="4"/>
      <x:c r="Q14" s="4"/>
      <x:c r="R14" s="4"/>
      <x:c r="S14" s="4"/>
      <x:c r="T14" s="5"/>
      <x:c r="U14" s="35" t="str">
        <x:f t="shared" si="4">IF(C14="","",IF(COUNTA(O14:R14)=0,"No direct social post verified",IF(O14&lt;&gt;"","Instagram","")&amp;IF(AND(O14&lt;&gt;"",OR(P14&lt;&gt;"",Q14&lt;&gt;"",R14&lt;&gt;"")),", ","")&amp;IF(P14&lt;&gt;"","X","")&amp;IF(AND(P14&lt;&gt;"",OR(Q14&lt;&gt;"",R14&lt;&gt;"")),", ","")&amp;IF(Q14&lt;&gt;"","Facebook","")&amp;IF(AND(Q14&lt;&gt;"",R14&lt;&gt;""),", ","")&amp;IF(R14&lt;&gt;"","TikTok","")))</x:f>
        <x:v>X, Facebook</x:v>
      </x:c>
    </x:row>
    <x:row r="15" ht="46.650001525878906" customHeight="1">
      <x:c r="A15" s="8" t="str">
        <x:f t="shared" si="0"/>
      </x:c>
      <x:c r="B15" s="4"/>
      <x:c r="C15" s="4"/>
      <x:c r="D15" s="4"/>
      <x:c r="E15" s="5"/>
      <x:c r="F15" s="5"/>
      <x:c r="G15" s="5"/>
      <x:c r="H15" s="7" t="str">
        <x:f t="shared" si="1"/>
      </x:c>
      <x:c r="I15" s="6" t="str">
        <x:f t="shared" si="2"/>
      </x:c>
      <x:c r="J15" s="4"/>
      <x:c r="K15" s="4"/>
      <x:c r="L15" s="4"/>
      <x:c r="M15" s="9" t="str">
        <x:f t="shared" si="3"/>
      </x:c>
      <x:c r="N15" s="4"/>
      <x:c r="O15" s="4"/>
      <x:c r="P15" s="4"/>
      <x:c r="Q15" s="4"/>
      <x:c r="R15" s="4"/>
      <x:c r="S15" s="4"/>
      <x:c r="T15" s="5"/>
      <x:c r="U15" s="35" t="str">
        <x:f t="shared" si="4"/>
      </x:c>
    </x:row>
    <x:row r="16" ht="46.650001525878906" customHeight="1">
      <x:c r="A16" s="8" t="str">
        <x:f t="shared" si="0"/>
      </x:c>
      <x:c r="B16" s="4"/>
      <x:c r="C16" s="4"/>
      <x:c r="D16" s="4"/>
      <x:c r="E16" s="5"/>
      <x:c r="F16" s="5"/>
      <x:c r="G16" s="5"/>
      <x:c r="H16" s="7" t="str">
        <x:f t="shared" si="1"/>
      </x:c>
      <x:c r="I16" s="6" t="str">
        <x:f t="shared" si="2"/>
      </x:c>
      <x:c r="J16" s="4"/>
      <x:c r="K16" s="4"/>
      <x:c r="L16" s="4"/>
      <x:c r="M16" s="9" t="str">
        <x:f t="shared" si="3"/>
      </x:c>
      <x:c r="N16" s="4"/>
      <x:c r="O16" s="4"/>
      <x:c r="P16" s="4"/>
      <x:c r="Q16" s="4"/>
      <x:c r="R16" s="4"/>
      <x:c r="S16" s="4"/>
      <x:c r="T16" s="5"/>
      <x:c r="U16" s="35" t="str">
        <x:f t="shared" si="4"/>
      </x:c>
    </x:row>
    <x:row r="17" ht="46.650001525878906" customHeight="1">
      <x:c r="A17" s="8" t="str">
        <x:f t="shared" si="0"/>
      </x:c>
      <x:c r="B17" s="4"/>
      <x:c r="C17" s="4"/>
      <x:c r="D17" s="4"/>
      <x:c r="E17" s="5"/>
      <x:c r="F17" s="5"/>
      <x:c r="G17" s="5"/>
      <x:c r="H17" s="7" t="str">
        <x:f t="shared" si="1"/>
      </x:c>
      <x:c r="I17" s="6" t="str">
        <x:f t="shared" si="2"/>
      </x:c>
      <x:c r="J17" s="4"/>
      <x:c r="K17" s="4"/>
      <x:c r="L17" s="4"/>
      <x:c r="M17" s="9" t="str">
        <x:f t="shared" si="3"/>
      </x:c>
      <x:c r="N17" s="4"/>
      <x:c r="O17" s="4"/>
      <x:c r="P17" s="4"/>
      <x:c r="Q17" s="4"/>
      <x:c r="R17" s="4"/>
      <x:c r="S17" s="4"/>
      <x:c r="T17" s="5"/>
      <x:c r="U17" s="35" t="str">
        <x:f t="shared" si="4"/>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47" priority="6">
      <x:formula>AND($C9&lt;&gt;"",$M9="")</x:formula>
    </x:cfRule>
  </x:conditionalFormatting>
  <x:conditionalFormatting sqref="A9:T500">
    <x:cfRule type="expression" dxfId="46" priority="7">
      <x:formula>$B9="Merchant"</x:formula>
    </x:cfRule>
    <x:cfRule type="expression" dxfId="45" priority="8">
      <x:formula>$B9="Remittance"</x:formula>
    </x:cfRule>
    <x:cfRule type="expression" dxfId="44" priority="15">
      <x:formula>AND($C9&lt;&gt;"",$M9="")</x:formula>
    </x:cfRule>
  </x:conditionalFormatting>
  <x:conditionalFormatting sqref="B9:B500">
    <x:cfRule type="expression" dxfId="43" priority="9">
      <x:formula>B9="Remittance"</x:formula>
    </x:cfRule>
  </x:conditionalFormatting>
  <x:conditionalFormatting sqref="I9:I42">
    <x:cfRule type="expression" dxfId="42" priority="1">
      <x:formula>I9="Active"</x:formula>
    </x:cfRule>
    <x:cfRule type="expression" dxfId="41" priority="2">
      <x:formula>I9="End Date Not Stated"</x:formula>
    </x:cfRule>
    <x:cfRule type="expression" dxfId="40" priority="3">
      <x:formula>I9="Expiring ≤7 Days"</x:formula>
    </x:cfRule>
    <x:cfRule type="expression" dxfId="39" priority="4">
      <x:formula>I9="Expiring 8–30 Days"</x:formula>
    </x:cfRule>
    <x:cfRule type="expression" dxfId="38" priority="5">
      <x:formula>I9="Expired"</x:formula>
    </x:cfRule>
  </x:conditionalFormatting>
  <x:conditionalFormatting sqref="I9:I500">
    <x:cfRule type="expression" dxfId="37" priority="10">
      <x:formula>I9="Active"</x:formula>
    </x:cfRule>
    <x:cfRule type="expression" dxfId="36" priority="11">
      <x:formula>I9="End Date Not Stated"</x:formula>
    </x:cfRule>
    <x:cfRule type="expression" dxfId="35" priority="12">
      <x:formula>I9="Expiring ≤7 Days"</x:formula>
    </x:cfRule>
    <x:cfRule type="expression" dxfId="34" priority="13">
      <x:formula>I9="Expiring 8–30 Days"</x:formula>
    </x:cfRule>
    <x:cfRule type="expression" dxfId="33" priority="14">
      <x:formula>I9="Expired"</x:formula>
    </x:cfRule>
  </x:conditionalFormatting>
  <x:conditionalFormatting sqref="U9:U42">
    <x:cfRule type="expression" dxfId="32"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11aeda7c43f84b58"/>
  </x:tableParts>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273</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COUNTIFS(urpay!$C$9:$C$500,"&lt;&gt;",urpay!$M$9:$M$500,"&lt;&gt;",urpay!$B$9:$B$500,"&lt;&gt;Merchant")</x:f>
        <x:v>3</x:v>
      </x:c>
      <x:c r="B5" s="53"/>
      <x:c r="C5" s="53"/>
      <x:c r="D5" s="53"/>
      <x:c r="E5" s="53" t="n">
        <x:f>COUNTIFS(urpay!$C$9:$C$500,"&lt;&gt;",urpay!$M$9:$M$500,"&lt;&gt;",urpay!$B$9:$B$500,"&lt;&gt;Merchant",urpay!$I$9:$I$500,"&lt;&gt;Expired")</x:f>
        <x:v>3</x:v>
      </x:c>
      <x:c r="F5" s="53"/>
      <x:c r="G5" s="53"/>
      <x:c r="H5" s="53"/>
      <x:c r="I5" s="54" t="n">
        <x:f>COUNTIFS(urpay!$C$9:$C$500,"&lt;&gt;",urpay!$M$9:$M$500,"&lt;&gt;",urpay!$B$9:$B$500,"&lt;&gt;Merchant",urpay!$I$9:$I$500,"&lt;&gt;Expired",urpay!$B$9:$B$500,"Remittance")</x:f>
        <x:v>1</x:v>
      </x:c>
      <x:c r="J5" s="54"/>
      <x:c r="K5" s="54"/>
      <x:c r="L5" s="54"/>
      <x:c r="M5" s="55" t="n">
        <x:f>COUNTIFS(urpay!$C$9:$C$500,"&lt;&gt;",urpay!$M$9:$M$500,"&lt;&gt;",urpay!$B$9:$B$500,"Merchant",urpay!$I$9:$I$500,"&lt;&gt;Expired")</x:f>
        <x:v>5</x:v>
      </x:c>
      <x:c r="N5" s="55"/>
      <x:c r="O5" s="55"/>
      <x:c r="P5" s="55"/>
      <x:c r="Q5" s="53" t="n">
        <x:f>COUNTIFS(urpay!$C$9:$C$500,"&lt;&gt;",urpay!$M$9:$M$500,"&lt;&gt;",urpay!$B$9:$B$500,"&lt;&gt;Merchant",urpay!$I$9:$I$500,"Expiring ≤7 Days")+COUNTIFS(urpay!$C$9:$C$500,"&lt;&gt;",urpay!$M$9:$M$500,"&lt;&gt;",urpay!$B$9:$B$500,"&lt;&gt;Merchant",urpay!$I$9:$I$500,"Expiring 8–30 Days")</x:f>
        <x:v>0</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6" si="0">IF(C9="","",ROW()-8)</x:f>
        <x:v>1</x:v>
      </x:c>
      <x:c r="B9" s="4" t="inlineStr">
        <x:is>
          <x:t xml:space="preserve">Card</x:t>
        </x:is>
      </x:c>
      <x:c r="C9" s="4" t="inlineStr">
        <x:is>
          <x:t xml:space="preserve">Visa Platinum Cashback Game</x:t>
        </x:is>
      </x:c>
      <x:c r="D9" s="4" t="inlineStr">
        <x:is>
          <x:t xml:space="preserve">Eligible Visa purchases generate in-app game chances, with cashback up to 100% of the transaction amount.</x:t>
        </x:is>
      </x:c>
      <x:c r="E9" s="5"/>
      <x:c r="F9" s="5"/>
      <x:c r="G9" s="5"/>
      <x:c r="H9" s="7" t="str">
        <x:f t="shared" ref="H9:H46" si="1">IF(OR(C9="",G9=""),"",G9-TODAY())</x:f>
      </x:c>
      <x:c r="I9" s="6" t="str">
        <x:f t="shared" ref="I9:I46" si="2">IF(C9="","",IF(G9="","End Date Not Stated",IF(G9&lt;TODAY(),"Expired",IF(G9&lt;=TODAY()+7,"Expiring ≤7 Days",IF(G9&lt;=TODAY()+30,"Expiring 8–30 Days","Active")))))</x:f>
        <x:v>End Date Not Stated</x:v>
      </x:c>
      <x:c r="J9" s="4" t="inlineStr">
        <x:is>
          <x:t xml:space="preserve">Visa card purchases</x:t>
        </x:is>
      </x:c>
      <x:c r="K9" s="4" t="inlineStr">
        <x:is>
          <x:t xml:space="preserve">Up to 100% cashback; international POS transactions provide two game chances; rewards can reach SAR 100,000</x:t>
        </x:is>
      </x:c>
      <x:c r="L9" s="4" t="inlineStr">
        <x:is>
          <x:t xml:space="preserve">urpay Visa Platinum customers</x:t>
        </x:is>
      </x:c>
      <x:c r="M9" s="9" t="str">
        <x:f t="shared" ref="M9:M46" si="3">IF(C9="","",IF(N9&lt;&gt;"",N9,IF(O9&lt;&gt;"",O9,IF(P9&lt;&gt;"",P9,IF(Q9&lt;&gt;"",Q9,IF(R9&lt;&gt;"",R9,""))))))</x:f>
        <x:v>https://www.urpay.com.sa/en/cashback-system</x:v>
      </x:c>
      <x:c r="N9" s="63" t="inlineStr">
        <x:is>
          <x:t xml:space="preserve">https://www.urpay.com.sa/en/cashback-system</x:t>
        </x:is>
      </x:c>
      <x:c r="O9" s="4"/>
      <x:c r="P9" s="63" t="inlineStr">
        <x:is>
          <x:t xml:space="preserve">https://x.com/urpay_sa/status/2079219785200554454</x:t>
        </x:is>
      </x:c>
      <x:c r="Q9" s="4" t="inlineStr">
        <x:is>
          <x:t xml:space="preserve">https://www.facebook.com/urpay.sa/videos/every-transaction-you-make-with-your-urpay-platinum-visa-card-comes-with-a-game-/2276237546140896/</x:t>
        </x:is>
      </x:c>
      <x:c r="R9" s="4"/>
      <x:c r="S9" s="4" t="inlineStr">
        <x:is>
          <x:t xml:space="preserve">Game chances must be used within 24 hours. A monthly rewards game unlocks after SAR 1,500 cumulative spend.</x:t>
        </x:is>
      </x:c>
      <x:c r="T9" s="5" t="n">
        <x:v>46240.0</x:v>
      </x:c>
      <x:c r="U9" s="35" t="str">
        <x:f t="shared" ref="U9:U46" si="4">IF(C9="","",IF(COUNTA(O9:R9)=0,"No direct social post verified",IF(O9&lt;&gt;"","Instagram","")&amp;IF(AND(O9&lt;&gt;"",OR(P9&lt;&gt;"",Q9&lt;&gt;"",R9&lt;&gt;"")),", ","")&amp;IF(P9&lt;&gt;"","X","")&amp;IF(AND(P9&lt;&gt;"",OR(Q9&lt;&gt;"",R9&lt;&gt;"")),", ","")&amp;IF(Q9&lt;&gt;"","Facebook","")&amp;IF(AND(Q9&lt;&gt;"",R9&lt;&gt;""),", ","")&amp;IF(R9&lt;&gt;"","TikTok","")))</x:f>
        <x:v>X, Facebook</x:v>
      </x:c>
    </x:row>
    <x:row r="10" ht="46.650001525878906" customHeight="1">
      <x:c r="A10" s="8" t="n">
        <x:f t="shared" si="0">IF(C10="","",ROW()-8)</x:f>
        <x:v>2</x:v>
      </x:c>
      <x:c r="B10" s="4" t="inlineStr">
        <x:is>
          <x:t xml:space="preserve">Merchant</x:t>
        </x:is>
      </x:c>
      <x:c r="C10" s="4" t="inlineStr">
        <x:is>
          <x:t xml:space="preserve">ALHABIB Bedding: 5% Off</x:t>
        </x:is>
      </x:c>
      <x:c r="D10" s="4" t="inlineStr">
        <x:is>
          <x:t xml:space="preserve">5% off eligible products using promo code urpay.</x:t>
        </x:is>
      </x:c>
      <x:c r="E10" s="5"/>
      <x:c r="F10" s="5"/>
      <x:c r="G10" s="5" t="n">
        <x:v>46387.0</x:v>
      </x:c>
      <x:c r="H10" s="7" t="n">
        <x:f t="shared" si="1">IF(OR(C10="",G10=""),"",G10-TODAY())</x:f>
        <x:v>147</x:v>
      </x:c>
      <x:c r="I10" s="6" t="str">
        <x:f t="shared" si="2">IF(C10="","",IF(G10="","End Date Not Stated",IF(G10&lt;TODAY(),"Expired",IF(G10&lt;=TODAY()+7,"Expiring ≤7 Days",IF(G10&lt;=TODAY()+30,"Expiring 8–30 Days","Active")))))</x:f>
        <x:v>Active</x:v>
      </x:c>
      <x:c r="J10" s="4" t="inlineStr">
        <x:is>
          <x:t xml:space="preserve">Home retail purchases</x:t>
        </x:is>
      </x:c>
      <x:c r="K10" s="4" t="inlineStr">
        <x:is>
          <x:t xml:space="preserve">5% discount using code urpay</x:t>
        </x:is>
      </x:c>
      <x:c r="L10" s="4" t="inlineStr">
        <x:is>
          <x:t xml:space="preserve">All urpay cards</x:t>
        </x:is>
      </x:c>
      <x:c r="M10" s="9" t="str">
        <x:f t="shared" si="3">IF(C10="","",IF(N10&lt;&gt;"",N10,IF(O10&lt;&gt;"",O10,IF(P10&lt;&gt;"",P10,IF(Q10&lt;&gt;"",Q10,IF(R10&lt;&gt;"",R10,""))))))</x:f>
        <x:v>https://www.urpay.com.sa/en/urpay-offers/alhabibbedding</x:v>
      </x:c>
      <x:c r="N10" s="4" t="inlineStr">
        <x:is>
          <x:t xml:space="preserve">https://www.urpay.com.sa/en/urpay-offers/alhabibbedding</x:t>
        </x:is>
      </x:c>
      <x:c r="O10" s="4"/>
      <x:c r="P10" s="4"/>
      <x:c r="Q10" s="4"/>
      <x:c r="R10" s="4"/>
      <x:c r="S10" s="4" t="inlineStr">
        <x:is>
          <x:t xml:space="preserve">Can be used more than once and cannot be combined with other promotions.</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No direct social post verified</x:v>
      </x:c>
    </x:row>
    <x:row r="11" ht="46.650001525878906" customHeight="1">
      <x:c r="A11" s="8" t="n">
        <x:f t="shared" si="0">IF(C11="","",ROW()-8)</x:f>
        <x:v>3</x:v>
      </x:c>
      <x:c r="B11" s="4" t="inlineStr">
        <x:is>
          <x:t xml:space="preserve">Merchant</x:t>
        </x:is>
      </x:c>
      <x:c r="C11" s="4" t="inlineStr">
        <x:is>
          <x:t xml:space="preserve">SQUATWOLF: Up to 10% Off</x:t>
        </x:is>
      </x:c>
      <x:c r="D11" s="4" t="inlineStr">
        <x:is>
          <x:t xml:space="preserve">Up to 10% off selected products using promo code R29.</x:t>
        </x:is>
      </x:c>
      <x:c r="E11" s="5"/>
      <x:c r="F11" s="5"/>
      <x:c r="G11" s="5" t="n">
        <x:v>46387.0</x:v>
      </x:c>
      <x:c r="H11" s="7" t="n">
        <x:f t="shared" si="1">IF(OR(C11="",G11=""),"",G11-TODAY())</x:f>
        <x:v>147</x:v>
      </x:c>
      <x:c r="I11" s="6" t="str">
        <x:f t="shared" si="2">IF(C11="","",IF(G11="","End Date Not Stated",IF(G11&lt;TODAY(),"Expired",IF(G11&lt;=TODAY()+7,"Expiring ≤7 Days",IF(G11&lt;=TODAY()+30,"Expiring 8–30 Days","Active")))))</x:f>
        <x:v>Active</x:v>
      </x:c>
      <x:c r="J11" s="4" t="inlineStr">
        <x:is>
          <x:t xml:space="preserve">Sportswear e-commerce purchases</x:t>
        </x:is>
      </x:c>
      <x:c r="K11" s="4" t="inlineStr">
        <x:is>
          <x:t xml:space="preserve">Up to 10% discount using code R29</x:t>
        </x:is>
      </x:c>
      <x:c r="L11" s="4" t="inlineStr">
        <x:is>
          <x:t xml:space="preserve">urpay cards only</x:t>
        </x:is>
      </x:c>
      <x:c r="M11" s="9" t="str">
        <x:f t="shared" si="3">IF(C11="","",IF(N11&lt;&gt;"",N11,IF(O11&lt;&gt;"",O11,IF(P11&lt;&gt;"",P11,IF(Q11&lt;&gt;"",Q11,IF(R11&lt;&gt;"",R11,""))))))</x:f>
        <x:v>https://www.urpay.com.sa/en/urpay-offers/squatwolf</x:v>
      </x:c>
      <x:c r="N11" s="4" t="inlineStr">
        <x:is>
          <x:t xml:space="preserve">https://www.urpay.com.sa/en/urpay-offers/squatwolf</x:t>
        </x:is>
      </x:c>
      <x:c r="O11" s="4"/>
      <x:c r="P11" s="4"/>
      <x:c r="Q11" s="4"/>
      <x:c r="R11" s="4"/>
      <x:c r="S11" s="4" t="inlineStr">
        <x:is>
          <x:t xml:space="preserve">Digital-wallet payments are excluded; selected products only.</x:t>
        </x:is>
      </x:c>
      <x:c r="T11" s="5" t="n">
        <x:v>46240.0</x:v>
      </x:c>
      <x:c r="U11" s="35" t="str">
        <x:f t="shared" si="4">IF(C11="","",IF(COUNTA(O11:R11)=0,"No direct social post verified",IF(O11&lt;&gt;"","Instagram","")&amp;IF(AND(O11&lt;&gt;"",OR(P11&lt;&gt;"",Q11&lt;&gt;"",R11&lt;&gt;"")),", ","")&amp;IF(P11&lt;&gt;"","X","")&amp;IF(AND(P11&lt;&gt;"",OR(Q11&lt;&gt;"",R11&lt;&gt;"")),", ","")&amp;IF(Q11&lt;&gt;"","Facebook","")&amp;IF(AND(Q11&lt;&gt;"",R11&lt;&gt;""),", ","")&amp;IF(R11&lt;&gt;"","TikTok","")))</x:f>
        <x:v>No direct social post verified</x:v>
      </x:c>
    </x:row>
    <x:row r="12" ht="46.650001525878906" customHeight="1">
      <x:c r="A12" s="8" t="n">
        <x:f t="shared" si="0">IF(C12="","",ROW()-8)</x:f>
        <x:v>4</x:v>
      </x:c>
      <x:c r="B12" s="4" t="inlineStr">
        <x:is>
          <x:t xml:space="preserve">Merchant</x:t>
        </x:is>
      </x:c>
      <x:c r="C12" s="4" t="inlineStr">
        <x:is>
          <x:t xml:space="preserve">MAGRABi: Up to 10% Off</x:t>
        </x:is>
      </x:c>
      <x:c r="D12" s="4" t="inlineStr">
        <x:is>
          <x:t xml:space="preserve">Up to 10% off eligible purchases using promo code URPAY.</x:t>
        </x:is>
      </x:c>
      <x:c r="E12" s="5"/>
      <x:c r="F12" s="5"/>
      <x:c r="G12" s="5" t="n">
        <x:v>46387.0</x:v>
      </x:c>
      <x:c r="H12" s="7" t="n">
        <x:f t="shared" si="1">IF(OR(C12="",G12=""),"",G12-TODAY())</x:f>
        <x:v>147</x:v>
      </x:c>
      <x:c r="I12" s="6" t="str">
        <x:f t="shared" si="2">IF(C12="","",IF(G12="","End Date Not Stated",IF(G12&lt;TODAY(),"Expired",IF(G12&lt;=TODAY()+7,"Expiring ≤7 Days",IF(G12&lt;=TODAY()+30,"Expiring 8–30 Days","Active")))))</x:f>
        <x:v>Active</x:v>
      </x:c>
      <x:c r="J12" s="4" t="inlineStr">
        <x:is>
          <x:t xml:space="preserve">Optical retail purchases</x:t>
        </x:is>
      </x:c>
      <x:c r="K12" s="4" t="inlineStr">
        <x:is>
          <x:t xml:space="preserve">Up to 10% discount using code URPAY</x:t>
        </x:is>
      </x:c>
      <x:c r="L12" s="4" t="inlineStr">
        <x:is>
          <x:t xml:space="preserve">All urpay cards</x:t>
        </x:is>
      </x:c>
      <x:c r="M12" s="9" t="str">
        <x:f t="shared" si="3">IF(C12="","",IF(N12&lt;&gt;"",N12,IF(O12&lt;&gt;"",O12,IF(P12&lt;&gt;"",P12,IF(Q12&lt;&gt;"",Q12,IF(R12&lt;&gt;"",R12,""))))))</x:f>
        <x:v>https://www.urpay.com.sa/en/urpay-offers/mag</x:v>
      </x:c>
      <x:c r="N12" s="4" t="inlineStr">
        <x:is>
          <x:t xml:space="preserve">https://www.urpay.com.sa/en/urpay-offers/mag</x:t>
        </x:is>
      </x:c>
      <x:c r="O12" s="4"/>
      <x:c r="P12" s="4"/>
      <x:c r="Q12" s="4"/>
      <x:c r="R12" s="4"/>
      <x:c r="S12" s="4" t="inlineStr">
        <x:is>
          <x:t xml:space="preserve">Cartier products are excluded. The offer may be used more than once.</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No direct social post verified</x:v>
      </x:c>
    </x:row>
    <x:row r="13" ht="46.650001525878906" customHeight="1">
      <x:c r="A13" s="8" t="n">
        <x:f t="shared" si="0">IF(C13="","",ROW()-8)</x:f>
        <x:v>5</x:v>
      </x:c>
      <x:c r="B13" s="4" t="inlineStr">
        <x:is>
          <x:t xml:space="preserve">Merchant</x:t>
        </x:is>
      </x:c>
      <x:c r="C13" s="4" t="inlineStr">
        <x:is>
          <x:t xml:space="preserve">Bath &amp; Body Works: Up to 5% Off</x:t>
        </x:is>
      </x:c>
      <x:c r="D13" s="4" t="inlineStr">
        <x:is>
          <x:t xml:space="preserve">Up to 5% off eligible purchases using promo code VN1N.</x:t>
        </x:is>
      </x:c>
      <x:c r="E13" s="5"/>
      <x:c r="F13" s="5"/>
      <x:c r="G13" s="5" t="n">
        <x:v>46387.0</x:v>
      </x:c>
      <x:c r="H13" s="7" t="n">
        <x:f t="shared" si="1">IF(OR(C13="",G13=""),"",G13-TODAY())</x:f>
        <x:v>147</x:v>
      </x:c>
      <x:c r="I13" s="6" t="str">
        <x:f t="shared" si="2">IF(C13="","",IF(G13="","End Date Not Stated",IF(G13&lt;TODAY(),"Expired",IF(G13&lt;=TODAY()+7,"Expiring ≤7 Days",IF(G13&lt;=TODAY()+30,"Expiring 8–30 Days","Active")))))</x:f>
        <x:v>Active</x:v>
      </x:c>
      <x:c r="J13" s="4" t="inlineStr">
        <x:is>
          <x:t xml:space="preserve">Beauty and personal-care purchases</x:t>
        </x:is>
      </x:c>
      <x:c r="K13" s="4" t="inlineStr">
        <x:is>
          <x:t xml:space="preserve">Up to 5% discount using code VN1N</x:t>
        </x:is>
      </x:c>
      <x:c r="L13" s="4" t="inlineStr">
        <x:is>
          <x:t xml:space="preserve">urpay cards only</x:t>
        </x:is>
      </x:c>
      <x:c r="M13" s="9" t="str">
        <x:f t="shared" si="3">IF(C13="","",IF(N13&lt;&gt;"",N13,IF(O13&lt;&gt;"",O13,IF(P13&lt;&gt;"",P13,IF(Q13&lt;&gt;"",Q13,IF(R13&lt;&gt;"",R13,""))))))</x:f>
        <x:v>https://www.urpay.com.sa/en/urpay-offers/b-bw</x:v>
      </x:c>
      <x:c r="N13" s="4" t="inlineStr">
        <x:is>
          <x:t xml:space="preserve">https://www.urpay.com.sa/en/urpay-offers/b-bw</x:t>
        </x:is>
      </x:c>
      <x:c r="O13" s="4"/>
      <x:c r="P13" s="4"/>
      <x:c r="Q13" s="4"/>
      <x:c r="R13" s="4"/>
      <x:c r="S13" s="4" t="inlineStr">
        <x:is>
          <x:t xml:space="preserve">May be used more than once and cannot be combined with other promotions.</x:t>
        </x:is>
      </x:c>
      <x:c r="T13" s="5" t="n">
        <x:v>46240.0</x:v>
      </x:c>
      <x:c r="U13" s="35" t="str">
        <x:f t="shared" si="4">IF(C13="","",IF(COUNTA(O13:R13)=0,"No direct social post verified",IF(O13&lt;&gt;"","Instagram","")&amp;IF(AND(O13&lt;&gt;"",OR(P13&lt;&gt;"",Q13&lt;&gt;"",R13&lt;&gt;"")),", ","")&amp;IF(P13&lt;&gt;"","X","")&amp;IF(AND(P13&lt;&gt;"",OR(Q13&lt;&gt;"",R13&lt;&gt;"")),", ","")&amp;IF(Q13&lt;&gt;"","Facebook","")&amp;IF(AND(Q13&lt;&gt;"",R13&lt;&gt;""),", ","")&amp;IF(R13&lt;&gt;"","TikTok","")))</x:f>
        <x:v>No direct social post verified</x:v>
      </x:c>
    </x:row>
    <x:row r="14" ht="46.650001525878906" customHeight="1">
      <x:c r="A14" s="8" t="n">
        <x:f t="shared" si="0">IF(C14="","",ROW()-8)</x:f>
        <x:v>6</x:v>
      </x:c>
      <x:c r="B14" s="4" t="inlineStr">
        <x:is>
          <x:t xml:space="preserve">Merchant</x:t>
        </x:is>
      </x:c>
      <x:c r="C14" s="4" t="inlineStr">
        <x:is>
          <x:t xml:space="preserve">Alnahdi Pharmacy: 5% Off</x:t>
        </x:is>
      </x:c>
      <x:c r="D14" s="4" t="inlineStr">
        <x:is>
          <x:t xml:space="preserve">5% off eligible full-price products, capped at SAR 25.</x:t>
        </x:is>
      </x:c>
      <x:c r="E14" s="5"/>
      <x:c r="F14" s="5"/>
      <x:c r="G14" s="5" t="n">
        <x:v>46387.0</x:v>
      </x:c>
      <x:c r="H14" s="7" t="n">
        <x:f t="shared" si="1">IF(OR(C14="",G14=""),"",G14-TODAY())</x:f>
        <x:v>147</x:v>
      </x:c>
      <x:c r="I14" s="6" t="str">
        <x:f t="shared" si="2">IF(C14="","",IF(G14="","End Date Not Stated",IF(G14&lt;TODAY(),"Expired",IF(G14&lt;=TODAY()+7,"Expiring ≤7 Days",IF(G14&lt;=TODAY()+30,"Expiring 8–30 Days","Active")))))</x:f>
        <x:v>Active</x:v>
      </x:c>
      <x:c r="J14" s="4" t="inlineStr">
        <x:is>
          <x:t xml:space="preserve">Pharmacy e-commerce purchases</x:t>
        </x:is>
      </x:c>
      <x:c r="K14" s="4" t="inlineStr">
        <x:is>
          <x:t xml:space="preserve">5% discount capped at SAR 25 using code URPAY</x:t>
        </x:is>
      </x:c>
      <x:c r="L14" s="4" t="inlineStr">
        <x:is>
          <x:t xml:space="preserve">All urpay cards</x:t>
        </x:is>
      </x:c>
      <x:c r="M14" s="9" t="str">
        <x:f t="shared" si="3">IF(C14="","",IF(N14&lt;&gt;"",N14,IF(O14&lt;&gt;"",O14,IF(P14&lt;&gt;"",P14,IF(Q14&lt;&gt;"",Q14,IF(R14&lt;&gt;"",R14,""))))))</x:f>
        <x:v>https://www.urpay.com.sa/en/urpay-offers/nadi-ph</x:v>
      </x:c>
      <x:c r="N14" s="4" t="inlineStr">
        <x:is>
          <x:t xml:space="preserve">https://www.urpay.com.sa/en/urpay-offers/nadi-ph</x:t>
        </x:is>
      </x:c>
      <x:c r="O14" s="4"/>
      <x:c r="P14" s="4"/>
      <x:c r="Q14" s="4"/>
      <x:c r="R14" s="4"/>
      <x:c r="S14" s="4" t="inlineStr">
        <x:is>
          <x:t xml:space="preserve">Valid on most full-price products on the Alnahdi app or website.</x:t>
        </x:is>
      </x:c>
      <x:c r="T14" s="5" t="n">
        <x:v>46240.0</x:v>
      </x:c>
      <x:c r="U14" s="35" t="str">
        <x:f t="shared" si="4">IF(C14="","",IF(COUNTA(O14:R14)=0,"No direct social post verified",IF(O14&lt;&gt;"","Instagram","")&amp;IF(AND(O14&lt;&gt;"",OR(P14&lt;&gt;"",Q14&lt;&gt;"",R14&lt;&gt;"")),", ","")&amp;IF(P14&lt;&gt;"","X","")&amp;IF(AND(P14&lt;&gt;"",OR(Q14&lt;&gt;"",R14&lt;&gt;"")),", ","")&amp;IF(Q14&lt;&gt;"","Facebook","")&amp;IF(AND(Q14&lt;&gt;"",R14&lt;&gt;""),", ","")&amp;IF(R14&lt;&gt;"","TikTok","")))</x:f>
        <x:v>No direct social post verified</x:v>
      </x:c>
    </x:row>
    <x:row r="15" ht="46.650001525878906" customHeight="1">
      <x:c r="A15" s="8" t="n">
        <x:f t="shared" si="0">IF(C15="","",ROW()-8)</x:f>
        <x:v>7</x:v>
      </x:c>
      <x:c r="B15" s="4" t="inlineStr">
        <x:is>
          <x:t xml:space="preserve">Merchant</x:t>
        </x:is>
      </x:c>
      <x:c r="C15" s="4" t="inlineStr">
        <x:is>
          <x:t xml:space="preserve">iHerb Visa Offer</x:t>
        </x:is>
      </x:c>
      <x:c r="D15" s="4" t="inlineStr">
        <x:is>
          <x:t xml:space="preserve">Discounts for new and existing iHerb customers.</x:t>
        </x:is>
      </x:c>
      <x:c r="E15" s="5"/>
      <x:c r="F15" s="5"/>
      <x:c r="G15" s="5" t="n">
        <x:v>46203.0</x:v>
      </x:c>
      <x:c r="H15" s="7" t="n">
        <x:f t="shared" si="1">IF(OR(C15="",G15=""),"",G15-TODAY())</x:f>
        <x:v>-37</x:v>
      </x:c>
      <x:c r="I15" s="6" t="str">
        <x:f t="shared" si="2">IF(C15="","",IF(G15="","End Date Not Stated",IF(G15&lt;TODAY(),"Expired",IF(G15&lt;=TODAY()+7,"Expiring ≤7 Days",IF(G15&lt;=TODAY()+30,"Expiring 8–30 Days","Active")))))</x:f>
        <x:v>Expired</x:v>
      </x:c>
      <x:c r="J15" s="4" t="inlineStr">
        <x:is>
          <x:t xml:space="preserve">Health and wellness e-commerce purchases</x:t>
        </x:is>
      </x:c>
      <x:c r="K15" s="4" t="inlineStr">
        <x:is>
          <x:t xml:space="preserve">25% off for new customers and 10% for existing customers</x:t>
        </x:is>
      </x:c>
      <x:c r="L15" s="4" t="inlineStr">
        <x:is>
          <x:t xml:space="preserve">Visa cardholders</x:t>
        </x:is>
      </x:c>
      <x:c r="M15" s="9" t="str">
        <x:f t="shared" si="3">IF(C15="","",IF(N15&lt;&gt;"",N15,IF(O15&lt;&gt;"",O15,IF(P15&lt;&gt;"",P15,IF(Q15&lt;&gt;"",Q15,IF(R15&lt;&gt;"",R15,""))))))</x:f>
        <x:v>https://www.urpay.com.sa/en/urpay-offers/iherb</x:v>
      </x:c>
      <x:c r="N15" s="4" t="inlineStr">
        <x:is>
          <x:t xml:space="preserve">https://www.urpay.com.sa/en/urpay-offers/iherb</x:t>
        </x:is>
      </x:c>
      <x:c r="O15" s="4"/>
      <x:c r="P15" s="4"/>
      <x:c r="Q15" s="4"/>
      <x:c r="R15" s="4"/>
      <x:c r="S15" s="4" t="inlineStr">
        <x:is>
          <x:t xml:space="preserve">Expired on 30 June 2026; retained for recent competitive context.</x:t>
        </x:is>
      </x:c>
      <x:c r="T15" s="5" t="n">
        <x:v>46240.0</x:v>
      </x:c>
      <x:c r="U15" s="35" t="str">
        <x:f t="shared" si="4">IF(C15="","",IF(COUNTA(O15:R15)=0,"No direct social post verified",IF(O15&lt;&gt;"","Instagram","")&amp;IF(AND(O15&lt;&gt;"",OR(P15&lt;&gt;"",Q15&lt;&gt;"",R15&lt;&gt;"")),", ","")&amp;IF(P15&lt;&gt;"","X","")&amp;IF(AND(P15&lt;&gt;"",OR(Q15&lt;&gt;"",R15&lt;&gt;"")),", ","")&amp;IF(Q15&lt;&gt;"","Facebook","")&amp;IF(AND(Q15&lt;&gt;"",R15&lt;&gt;""),", ","")&amp;IF(R15&lt;&gt;"","TikTok","")))</x:f>
        <x:v>No direct social post verified</x:v>
      </x:c>
    </x:row>
    <x:row r="16" ht="46.650001525878906" customHeight="1">
      <x:c r="A16" s="8" t="n">
        <x:f t="shared" si="0">IF(C16="","",ROW()-8)</x:f>
        <x:v>8</x:v>
      </x:c>
      <x:c r="B16" s="4" t="inlineStr">
        <x:is>
          <x:t xml:space="preserve">Musaned</x:t>
        </x:is>
      </x:c>
      <x:c r="C16" s="4" t="inlineStr">
        <x:is>
          <x:t xml:space="preserve">Musaned Domestic Worker Salary Travel Ticket Draw</x:t>
        </x:is>
      </x:c>
      <x:c r="D16" s="4" t="inlineStr">
        <x:is>
          <x:t xml:space="preserve">Transfer a domestic worker's salary through Musaned in urpay and enter a draw to win a travel ticket for the worker to their home country.</x:t>
        </x:is>
      </x:c>
      <x:c r="E16" s="5"/>
      <x:c r="F16" s="5"/>
      <x:c r="G16" s="5"/>
      <x:c r="H16" s="7" t="str">
        <x:f t="shared" si="1">IF(OR(C16="",G16=""),"",G16-TODAY())</x:f>
      </x:c>
      <x:c r="I16" s="6" t="str">
        <x:f t="shared" si="2">IF(C16="","",IF(G16="","End Date Not Stated",IF(G16&lt;TODAY(),"Expired",IF(G16&lt;=TODAY()+7,"Expiring ≤7 Days",IF(G16&lt;=TODAY()+30,"Expiring 8–30 Days","Active")))))</x:f>
        <x:v>End Date Not Stated</x:v>
      </x:c>
      <x:c r="J16" s="4" t="inlineStr">
        <x:is>
          <x:t xml:space="preserve">Domestic worker salary transfer through Musaned</x:t>
        </x:is>
      </x:c>
      <x:c r="K16" s="4" t="inlineStr">
        <x:is>
          <x:t xml:space="preserve">Salary transfer generates an entry into a travel-ticket prize draw</x:t>
        </x:is>
      </x:c>
      <x:c r="L16" s="4" t="inlineStr">
        <x:is>
          <x:t xml:space="preserve">urpay customers using the Musaned domestic-worker salary service</x:t>
        </x:is>
      </x:c>
      <x:c r="M16" s="9" t="str">
        <x:f t="shared" si="3">IF(C16="","",IF(N16&lt;&gt;"",N16,IF(O16&lt;&gt;"",O16,IF(P16&lt;&gt;"",P16,IF(Q16&lt;&gt;"",Q16,IF(R16&lt;&gt;"",R16,""))))))</x:f>
        <x:v>https://x.com/urpay_sa/status/2074433249682845889</x:v>
      </x:c>
      <x:c r="N16" s="4"/>
      <x:c r="O16" s="4"/>
      <x:c r="P16" s="4" t="inlineStr">
        <x:is>
          <x:t xml:space="preserve">https://x.com/urpay_sa/status/2074433249682845889</x:t>
        </x:is>
      </x:c>
      <x:c r="Q16" s="4"/>
      <x:c r="R16" s="4"/>
      <x:c r="S16" s="4" t="inlineStr">
        <x:is>
          <x:t xml:space="preserve">The official post does not state a campaign end date.</x:t>
        </x:is>
      </x:c>
      <x:c r="T16" s="5" t="n">
        <x:v>46240.0</x:v>
      </x:c>
      <x:c r="U16" s="35" t="str">
        <x:f t="shared" si="4">IF(C16="","",IF(COUNTA(O16:R16)=0,"No direct social post verified",IF(O16&lt;&gt;"","Instagram","")&amp;IF(AND(O16&lt;&gt;"",OR(P16&lt;&gt;"",Q16&lt;&gt;"",R16&lt;&gt;"")),", ","")&amp;IF(P16&lt;&gt;"","X","")&amp;IF(AND(P16&lt;&gt;"",OR(Q16&lt;&gt;"",R16&lt;&gt;"")),", ","")&amp;IF(Q16&lt;&gt;"","Facebook","")&amp;IF(AND(Q16&lt;&gt;"",R16&lt;&gt;""),", ","")&amp;IF(R16&lt;&gt;"","TikTok","")))</x:f>
        <x:v>X</x:v>
      </x:c>
    </x:row>
    <x:row r="17" ht="46.650001525878906" customHeight="1">
      <x:c r="A17" s="8" t="n">
        <x:f t="shared" si="0">IF(C17="","",ROW()-8)</x:f>
        <x:v>9</x:v>
      </x:c>
      <x:c r="B17" s="124" t="inlineStr">
        <x:is>
          <x:t xml:space="preserve">Remittance</x:t>
        </x:is>
      </x:c>
      <x:c r="C17" s="124" t="inlineStr">
        <x:is>
          <x:t xml:space="preserve">International Transfer Scratch &amp; Win – Up to SAR 10,000</x:t>
        </x:is>
      </x:c>
      <x:c r="D17" s="124" t="inlineStr">
        <x:is>
          <x:t xml:space="preserve">Every international transfer generates a scratch chance to win a cash prize of up to SAR 10,000.</x:t>
        </x:is>
      </x:c>
      <x:c r="E17" s="125"/>
      <x:c r="F17" s="125"/>
      <x:c r="G17" s="125"/>
      <x:c r="H17" s="126" t="str">
        <x:f t="shared" si="1">IF(OR(C17="",G17=""),"",G17-TODAY())</x:f>
      </x:c>
      <x:c r="I17" s="124" t="str">
        <x:f t="shared" si="2">IF(C17="","",IF(G17="","End Date Not Stated",IF(G17&lt;TODAY(),"Expired",IF(G17&lt;=TODAY()+7,"Expiring ≤7 Days",IF(G17&lt;=TODAY()+30,"Expiring 8–30 Days","Active")))))</x:f>
        <x:v>End Date Not Stated</x:v>
      </x:c>
      <x:c r="J17" s="124" t="inlineStr">
        <x:is>
          <x:t xml:space="preserve">International transfers</x:t>
        </x:is>
      </x:c>
      <x:c r="K17" s="124" t="inlineStr">
        <x:is>
          <x:t xml:space="preserve">Scratch-and-win cash prizes up to SAR 10,000</x:t>
        </x:is>
      </x:c>
      <x:c r="L17" s="124" t="inlineStr">
        <x:is>
          <x:t xml:space="preserve">urpay customers making eligible international transfers; provider terms apply</x:t>
        </x:is>
      </x:c>
      <x:c r="M17" s="124" t="str">
        <x:f t="shared" si="3">IF(C17="","",IF(N17&lt;&gt;"",N17,IF(O17&lt;&gt;"",O17,IF(P17&lt;&gt;"",P17,IF(Q17&lt;&gt;"",Q17,IF(R17&lt;&gt;"",R17,""))))))</x:f>
        <x:v>https://www.facebook.com/urpay.sa/posts/scratch-win-with-every-international-transfer-via-urpay-and-you-could-win-up-to-/1079237764323076/</x:v>
      </x:c>
      <x:c r="N17" s="124"/>
      <x:c r="O17" s="124"/>
      <x:c r="P17" s="124"/>
      <x:c r="Q17" s="124" t="inlineStr">
        <x:is>
          <x:t xml:space="preserve">https://www.facebook.com/urpay.sa/posts/scratch-win-with-every-international-transfer-via-urpay-and-you-could-win-up-to-/1079237764323076/</x:t>
        </x:is>
      </x:c>
      <x:c r="R17" s="124"/>
      <x:c r="S17" s="124" t="inlineStr">
        <x:is>
          <x:t xml:space="preserve">A direct official Facebook post promotes scratch-and-win rewards up to SAR 10,000. The post does not state a campaign end date.</x:t>
        </x:is>
      </x:c>
      <x:c r="T17" s="125" t="n">
        <x:v>46240.0</x:v>
      </x:c>
      <x:c r="U17" s="127" t="str">
        <x:f t="shared" si="4">IF(C17="","",IF(COUNTA(O17:R17)=0,"No direct social post verified",IF(O17&lt;&gt;"","Instagram","")&amp;IF(AND(O17&lt;&gt;"",OR(P17&lt;&gt;"",Q17&lt;&gt;"",R17&lt;&gt;"")),", ","")&amp;IF(P17&lt;&gt;"","X","")&amp;IF(AND(P17&lt;&gt;"",OR(Q17&lt;&gt;"",R17&lt;&gt;"")),", ","")&amp;IF(Q17&lt;&gt;"","Facebook","")&amp;IF(AND(Q17&lt;&gt;"",R17&lt;&gt;""),", ","")&amp;IF(R17&lt;&gt;"","TikTok","")))</x:f>
        <x:v>Facebook</x:v>
      </x:c>
    </x:row>
    <x:row r="18" ht="46.650001525878906" customHeight="1">
      <x:c r="A18" s="8" t="str">
        <x:f t="shared" si="0"/>
      </x:c>
      <x:c r="B18" s="4"/>
      <x:c r="C18" s="4"/>
      <x:c r="D18" s="4"/>
      <x:c r="E18" s="5"/>
      <x:c r="F18" s="5"/>
      <x:c r="G18" s="5"/>
      <x:c r="H18" s="7" t="str">
        <x:f t="shared" si="1"/>
      </x:c>
      <x:c r="I18" s="6" t="str">
        <x:f t="shared" si="2"/>
      </x:c>
      <x:c r="J18" s="4"/>
      <x:c r="K18" s="4"/>
      <x:c r="L18" s="4"/>
      <x:c r="M18" s="9" t="str">
        <x:f t="shared" si="3"/>
      </x:c>
      <x:c r="N18" s="4"/>
      <x:c r="O18" s="4"/>
      <x:c r="P18" s="4"/>
      <x:c r="Q18" s="4"/>
      <x:c r="R18" s="4"/>
      <x:c r="S18" s="4"/>
      <x:c r="T18" s="5"/>
      <x:c r="U18" s="35" t="str">
        <x:f t="shared" si="4"/>
      </x:c>
    </x:row>
    <x:row r="19" ht="46.650001525878906" customHeight="1">
      <x:c r="A19" s="8" t="str">
        <x:f t="shared" si="0"/>
      </x:c>
      <x:c r="B19" s="4"/>
      <x:c r="C19" s="4"/>
      <x:c r="D19" s="4"/>
      <x:c r="E19" s="5"/>
      <x:c r="F19" s="5"/>
      <x:c r="G19" s="5"/>
      <x:c r="H19" s="7" t="str">
        <x:f t="shared" si="1"/>
      </x:c>
      <x:c r="I19" s="6" t="str">
        <x:f t="shared" si="2"/>
      </x:c>
      <x:c r="J19" s="4"/>
      <x:c r="K19" s="4"/>
      <x:c r="L19" s="4"/>
      <x:c r="M19" s="9" t="str">
        <x:f t="shared" si="3"/>
      </x:c>
      <x:c r="N19" s="4"/>
      <x:c r="O19" s="4"/>
      <x:c r="P19" s="4"/>
      <x:c r="Q19" s="4"/>
      <x:c r="R19" s="4"/>
      <x:c r="S19" s="4"/>
      <x:c r="T19" s="5"/>
      <x:c r="U19" s="35" t="str">
        <x:f t="shared" si="4"/>
      </x:c>
    </x:row>
    <x:row r="20" ht="46.650001525878906" customHeight="1">
      <x:c r="A20" s="8" t="str">
        <x:f t="shared" si="0"/>
      </x:c>
      <x:c r="B20" s="4"/>
      <x:c r="C20" s="4"/>
      <x:c r="D20" s="4"/>
      <x:c r="E20" s="5"/>
      <x:c r="F20" s="5"/>
      <x:c r="G20" s="5"/>
      <x:c r="H20" s="7" t="str">
        <x:f t="shared" si="1"/>
      </x:c>
      <x:c r="I20" s="6" t="str">
        <x:f t="shared" si="2"/>
      </x:c>
      <x:c r="J20" s="4"/>
      <x:c r="K20" s="4"/>
      <x:c r="L20" s="4"/>
      <x:c r="M20" s="9" t="str">
        <x:f t="shared" si="3"/>
      </x:c>
      <x:c r="N20" s="4"/>
      <x:c r="O20" s="4"/>
      <x:c r="P20" s="4"/>
      <x:c r="Q20" s="4"/>
      <x:c r="R20" s="4"/>
      <x:c r="S20" s="4"/>
      <x:c r="T20" s="5"/>
      <x:c r="U20" s="35" t="str">
        <x:f t="shared" si="4"/>
      </x:c>
    </x:row>
    <x:row r="21" ht="46.650001525878906" customHeight="1">
      <x:c r="A21" s="8" t="str">
        <x:f t="shared" si="0"/>
      </x:c>
      <x:c r="B21" s="4"/>
      <x:c r="C21" s="4"/>
      <x:c r="D21" s="4"/>
      <x:c r="E21" s="5"/>
      <x:c r="F21" s="5"/>
      <x:c r="G21" s="5"/>
      <x:c r="H21" s="7" t="str">
        <x:f t="shared" si="1"/>
      </x:c>
      <x:c r="I21" s="6" t="str">
        <x:f t="shared" si="2"/>
      </x:c>
      <x:c r="J21" s="4"/>
      <x:c r="K21" s="4"/>
      <x:c r="L21" s="4"/>
      <x:c r="M21" s="9" t="str">
        <x:f t="shared" si="3"/>
      </x:c>
      <x:c r="N21" s="4"/>
      <x:c r="O21" s="4"/>
      <x:c r="P21" s="4"/>
      <x:c r="Q21" s="4"/>
      <x:c r="R21" s="4"/>
      <x:c r="S21" s="4"/>
      <x:c r="T21" s="5"/>
      <x:c r="U21" s="35" t="str">
        <x:f t="shared" si="4"/>
      </x:c>
    </x:row>
    <x:row r="22" ht="46.650001525878906" customHeight="1">
      <x:c r="A22" s="8" t="str">
        <x:f t="shared" si="0"/>
      </x:c>
      <x:c r="B22" s="4"/>
      <x:c r="C22" s="4"/>
      <x:c r="D22" s="4"/>
      <x:c r="E22" s="5"/>
      <x:c r="F22" s="5"/>
      <x:c r="G22" s="5"/>
      <x:c r="H22" s="7" t="str">
        <x:f t="shared" si="1"/>
      </x:c>
      <x:c r="I22" s="6" t="str">
        <x:f t="shared" si="2"/>
      </x:c>
      <x:c r="J22" s="4"/>
      <x:c r="K22" s="4"/>
      <x:c r="L22" s="4"/>
      <x:c r="M22" s="9" t="str">
        <x:f t="shared" si="3"/>
      </x:c>
      <x:c r="N22" s="4"/>
      <x:c r="O22" s="4"/>
      <x:c r="P22" s="4"/>
      <x:c r="Q22" s="4"/>
      <x:c r="R22" s="4"/>
      <x:c r="S22" s="4"/>
      <x:c r="T22" s="5"/>
      <x:c r="U22" s="35" t="str">
        <x:f t="shared" si="4"/>
      </x:c>
    </x:row>
    <x:row r="23" ht="46.650001525878906" customHeight="1">
      <x:c r="A23" s="8" t="str">
        <x:f t="shared" si="0"/>
      </x:c>
      <x:c r="B23" s="4"/>
      <x:c r="C23" s="4"/>
      <x:c r="D23" s="4"/>
      <x:c r="E23" s="5"/>
      <x:c r="F23" s="5"/>
      <x:c r="G23" s="5"/>
      <x:c r="H23" s="7" t="str">
        <x:f t="shared" si="1"/>
      </x:c>
      <x:c r="I23" s="6" t="str">
        <x:f t="shared" si="2"/>
      </x:c>
      <x:c r="J23" s="4"/>
      <x:c r="K23" s="4"/>
      <x:c r="L23" s="4"/>
      <x:c r="M23" s="9" t="str">
        <x:f t="shared" si="3"/>
      </x:c>
      <x:c r="N23" s="4"/>
      <x:c r="O23" s="4"/>
      <x:c r="P23" s="4"/>
      <x:c r="Q23" s="4"/>
      <x:c r="R23" s="4"/>
      <x:c r="S23" s="4"/>
      <x:c r="T23" s="5"/>
      <x:c r="U23" s="35" t="str">
        <x:f t="shared" si="4"/>
      </x:c>
    </x:row>
    <x:row r="24" ht="46.650001525878906" customHeight="1">
      <x:c r="A24" s="8" t="str">
        <x:f t="shared" si="0"/>
      </x:c>
      <x:c r="B24" s="4"/>
      <x:c r="C24" s="4"/>
      <x:c r="D24" s="4"/>
      <x:c r="E24" s="5"/>
      <x:c r="F24" s="5"/>
      <x:c r="G24" s="5"/>
      <x:c r="H24" s="7" t="str">
        <x:f t="shared" si="1"/>
      </x:c>
      <x:c r="I24" s="6" t="str">
        <x:f t="shared" si="2"/>
      </x:c>
      <x:c r="J24" s="4"/>
      <x:c r="K24" s="4"/>
      <x:c r="L24" s="4"/>
      <x:c r="M24" s="9" t="str">
        <x:f t="shared" si="3"/>
      </x:c>
      <x:c r="N24" s="4"/>
      <x:c r="O24" s="4"/>
      <x:c r="P24" s="4"/>
      <x:c r="Q24" s="4"/>
      <x:c r="R24" s="4"/>
      <x:c r="S24" s="4"/>
      <x:c r="T24" s="5"/>
      <x:c r="U24" s="35" t="str">
        <x:f t="shared" si="4"/>
      </x:c>
    </x:row>
    <x:row r="25" ht="46.650001525878906" customHeight="1">
      <x:c r="A25" s="8" t="str">
        <x:f t="shared" si="0"/>
      </x:c>
      <x:c r="B25" s="4"/>
      <x:c r="C25" s="4"/>
      <x:c r="D25" s="4"/>
      <x:c r="E25" s="5"/>
      <x:c r="F25" s="5"/>
      <x:c r="G25" s="5"/>
      <x:c r="H25" s="7" t="str">
        <x:f t="shared" si="1"/>
      </x:c>
      <x:c r="I25" s="6" t="str">
        <x:f t="shared" si="2"/>
      </x:c>
      <x:c r="J25" s="4"/>
      <x:c r="K25" s="4"/>
      <x:c r="L25" s="4"/>
      <x:c r="M25" s="9" t="str">
        <x:f t="shared" si="3"/>
      </x:c>
      <x:c r="N25" s="4"/>
      <x:c r="O25" s="4"/>
      <x:c r="P25" s="4"/>
      <x:c r="Q25" s="4"/>
      <x:c r="R25" s="4"/>
      <x:c r="S25" s="4"/>
      <x:c r="T25" s="5"/>
      <x:c r="U25" s="35" t="str">
        <x:f t="shared" si="4"/>
      </x:c>
    </x:row>
    <x:row r="26" ht="46.650001525878906" customHeight="1">
      <x:c r="A26" s="8" t="str">
        <x:f t="shared" si="0"/>
      </x:c>
      <x:c r="B26" s="4"/>
      <x:c r="C26" s="4"/>
      <x:c r="D26" s="4"/>
      <x:c r="E26" s="5"/>
      <x:c r="F26" s="5"/>
      <x:c r="G26" s="5"/>
      <x:c r="H26" s="7" t="str">
        <x:f t="shared" si="1"/>
      </x:c>
      <x:c r="I26" s="6" t="str">
        <x:f t="shared" si="2"/>
      </x:c>
      <x:c r="J26" s="4"/>
      <x:c r="K26" s="4"/>
      <x:c r="L26" s="4"/>
      <x:c r="M26" s="9" t="str">
        <x:f t="shared" si="3"/>
      </x:c>
      <x:c r="N26" s="4"/>
      <x:c r="O26" s="4"/>
      <x:c r="P26" s="4"/>
      <x:c r="Q26" s="4"/>
      <x:c r="R26" s="4"/>
      <x:c r="S26" s="4"/>
      <x:c r="T26" s="5"/>
      <x:c r="U26" s="35" t="str">
        <x:f t="shared" si="4"/>
      </x:c>
    </x:row>
    <x:row r="27" ht="46.650001525878906" customHeight="1">
      <x:c r="A27" s="8" t="str">
        <x:f t="shared" si="0"/>
      </x:c>
      <x:c r="B27" s="4"/>
      <x:c r="C27" s="4"/>
      <x:c r="D27" s="4"/>
      <x:c r="E27" s="5"/>
      <x:c r="F27" s="5"/>
      <x:c r="G27" s="5"/>
      <x:c r="H27" s="7" t="str">
        <x:f t="shared" si="1"/>
      </x:c>
      <x:c r="I27" s="6" t="str">
        <x:f t="shared" si="2"/>
      </x:c>
      <x:c r="J27" s="4"/>
      <x:c r="K27" s="4"/>
      <x:c r="L27" s="4"/>
      <x:c r="M27" s="9" t="str">
        <x:f t="shared" si="3"/>
      </x:c>
      <x:c r="N27" s="4"/>
      <x:c r="O27" s="4"/>
      <x:c r="P27" s="4"/>
      <x:c r="Q27" s="4"/>
      <x:c r="R27" s="4"/>
      <x:c r="S27" s="4"/>
      <x:c r="T27" s="5"/>
      <x:c r="U27" s="35" t="str">
        <x:f t="shared" si="4"/>
      </x:c>
    </x:row>
    <x:row r="28" ht="46.650001525878906" customHeight="1">
      <x:c r="A28" s="8" t="str">
        <x:f t="shared" si="0"/>
      </x:c>
      <x:c r="B28" s="4"/>
      <x:c r="C28" s="4"/>
      <x:c r="D28" s="4"/>
      <x:c r="E28" s="5"/>
      <x:c r="F28" s="5"/>
      <x:c r="G28" s="5"/>
      <x:c r="H28" s="7" t="str">
        <x:f t="shared" si="1"/>
      </x:c>
      <x:c r="I28" s="6" t="str">
        <x:f t="shared" si="2"/>
      </x:c>
      <x:c r="J28" s="4"/>
      <x:c r="K28" s="4"/>
      <x:c r="L28" s="4"/>
      <x:c r="M28" s="9" t="str">
        <x:f t="shared" si="3"/>
      </x:c>
      <x:c r="N28" s="4"/>
      <x:c r="O28" s="4"/>
      <x:c r="P28" s="4"/>
      <x:c r="Q28" s="4"/>
      <x:c r="R28" s="4"/>
      <x:c r="S28" s="4"/>
      <x:c r="T28" s="5"/>
      <x:c r="U28" s="35" t="str">
        <x:f t="shared" si="4"/>
      </x:c>
    </x:row>
    <x:row r="29" ht="46.650001525878906" customHeight="1">
      <x:c r="A29" s="8" t="str">
        <x:f t="shared" si="0"/>
      </x:c>
      <x:c r="B29" s="4"/>
      <x:c r="C29" s="4"/>
      <x:c r="D29" s="4"/>
      <x:c r="E29" s="5"/>
      <x:c r="F29" s="5"/>
      <x:c r="G29" s="5"/>
      <x:c r="H29" s="7" t="str">
        <x:f t="shared" si="1"/>
      </x:c>
      <x:c r="I29" s="6" t="str">
        <x:f t="shared" si="2"/>
      </x:c>
      <x:c r="J29" s="4"/>
      <x:c r="K29" s="4"/>
      <x:c r="L29" s="4"/>
      <x:c r="M29" s="9" t="str">
        <x:f t="shared" si="3"/>
      </x:c>
      <x:c r="N29" s="4"/>
      <x:c r="O29" s="4"/>
      <x:c r="P29" s="4"/>
      <x:c r="Q29" s="4"/>
      <x:c r="R29" s="4"/>
      <x:c r="S29" s="4"/>
      <x:c r="T29" s="5"/>
      <x:c r="U29" s="35" t="str">
        <x:f t="shared" si="4"/>
      </x:c>
    </x:row>
    <x:row r="30" ht="46.650001525878906" customHeight="1">
      <x:c r="A30" s="8" t="str">
        <x:f t="shared" si="0"/>
      </x:c>
      <x:c r="B30" s="4"/>
      <x:c r="C30" s="4"/>
      <x:c r="D30" s="4"/>
      <x:c r="E30" s="5"/>
      <x:c r="F30" s="5"/>
      <x:c r="G30" s="5"/>
      <x:c r="H30" s="7" t="str">
        <x:f t="shared" si="1"/>
      </x:c>
      <x:c r="I30" s="6" t="str">
        <x:f t="shared" si="2"/>
      </x:c>
      <x:c r="J30" s="4"/>
      <x:c r="K30" s="4"/>
      <x:c r="L30" s="4"/>
      <x:c r="M30" s="9" t="str">
        <x:f t="shared" si="3"/>
      </x:c>
      <x:c r="N30" s="4"/>
      <x:c r="O30" s="4"/>
      <x:c r="P30" s="4"/>
      <x:c r="Q30" s="4"/>
      <x:c r="R30" s="4"/>
      <x:c r="S30" s="4"/>
      <x:c r="T30" s="5"/>
      <x:c r="U30" s="35" t="str">
        <x:f t="shared" si="4"/>
      </x:c>
    </x:row>
    <x:row r="31" ht="46.650001525878906" customHeight="1">
      <x:c r="A31" s="8" t="str">
        <x:f t="shared" si="0"/>
      </x:c>
      <x:c r="B31" s="4"/>
      <x:c r="C31" s="4"/>
      <x:c r="D31" s="4"/>
      <x:c r="E31" s="5"/>
      <x:c r="F31" s="5"/>
      <x:c r="G31" s="5"/>
      <x:c r="H31" s="7" t="str">
        <x:f t="shared" si="1"/>
      </x:c>
      <x:c r="I31" s="6" t="str">
        <x:f t="shared" si="2"/>
      </x:c>
      <x:c r="J31" s="4"/>
      <x:c r="K31" s="4"/>
      <x:c r="L31" s="4"/>
      <x:c r="M31" s="9" t="str">
        <x:f t="shared" si="3"/>
      </x:c>
      <x:c r="N31" s="4"/>
      <x:c r="O31" s="4"/>
      <x:c r="P31" s="4"/>
      <x:c r="Q31" s="4"/>
      <x:c r="R31" s="4"/>
      <x:c r="S31" s="4"/>
      <x:c r="T31" s="5"/>
      <x:c r="U31" s="35" t="str">
        <x:f t="shared" si="4"/>
      </x:c>
    </x:row>
    <x:row r="32" ht="46.650001525878906" customHeight="1">
      <x:c r="A32" s="8" t="str">
        <x:f t="shared" si="0"/>
      </x:c>
      <x:c r="B32" s="4"/>
      <x:c r="C32" s="4"/>
      <x:c r="D32" s="4"/>
      <x:c r="E32" s="5"/>
      <x:c r="F32" s="5"/>
      <x:c r="G32" s="5"/>
      <x:c r="H32" s="7" t="str">
        <x:f t="shared" si="1"/>
      </x:c>
      <x:c r="I32" s="6" t="str">
        <x:f t="shared" si="2"/>
      </x:c>
      <x:c r="J32" s="4"/>
      <x:c r="K32" s="4"/>
      <x:c r="L32" s="4"/>
      <x:c r="M32" s="9" t="str">
        <x:f t="shared" si="3"/>
      </x:c>
      <x:c r="N32" s="4"/>
      <x:c r="O32" s="4"/>
      <x:c r="P32" s="4"/>
      <x:c r="Q32" s="4"/>
      <x:c r="R32" s="4"/>
      <x:c r="S32" s="4"/>
      <x:c r="T32" s="5"/>
      <x:c r="U32" s="35" t="str">
        <x:f t="shared" si="4"/>
      </x:c>
    </x:row>
    <x:row r="33" ht="46.650001525878906" customHeight="1">
      <x:c r="A33" s="8" t="str">
        <x:f t="shared" si="0"/>
      </x:c>
      <x:c r="B33" s="4"/>
      <x:c r="C33" s="4"/>
      <x:c r="D33" s="4"/>
      <x:c r="E33" s="5"/>
      <x:c r="F33" s="5"/>
      <x:c r="G33" s="5"/>
      <x:c r="H33" s="7" t="str">
        <x:f t="shared" si="1"/>
      </x:c>
      <x:c r="I33" s="6" t="str">
        <x:f t="shared" si="2"/>
      </x:c>
      <x:c r="J33" s="4"/>
      <x:c r="K33" s="4"/>
      <x:c r="L33" s="4"/>
      <x:c r="M33" s="9" t="str">
        <x:f t="shared" si="3"/>
      </x:c>
      <x:c r="N33" s="4"/>
      <x:c r="O33" s="4"/>
      <x:c r="P33" s="4"/>
      <x:c r="Q33" s="4"/>
      <x:c r="R33" s="4"/>
      <x:c r="S33" s="4"/>
      <x:c r="T33" s="5"/>
      <x:c r="U33" s="35" t="str">
        <x:f t="shared" si="4"/>
      </x:c>
    </x:row>
    <x:row r="34" ht="46.650001525878906" customHeight="1">
      <x:c r="A34" s="8" t="str">
        <x:f t="shared" si="0"/>
      </x:c>
      <x:c r="B34" s="4"/>
      <x:c r="C34" s="4"/>
      <x:c r="D34" s="4"/>
      <x:c r="E34" s="5"/>
      <x:c r="F34" s="5"/>
      <x:c r="G34" s="5"/>
      <x:c r="H34" s="7" t="str">
        <x:f t="shared" si="1"/>
      </x:c>
      <x:c r="I34" s="6" t="str">
        <x:f t="shared" si="2"/>
      </x:c>
      <x:c r="J34" s="4"/>
      <x:c r="K34" s="4"/>
      <x:c r="L34" s="4"/>
      <x:c r="M34" s="9" t="str">
        <x:f t="shared" si="3"/>
      </x:c>
      <x:c r="N34" s="4"/>
      <x:c r="O34" s="4"/>
      <x:c r="P34" s="4"/>
      <x:c r="Q34" s="4"/>
      <x:c r="R34" s="4"/>
      <x:c r="S34" s="4"/>
      <x:c r="T34" s="5"/>
      <x:c r="U34" s="35" t="str">
        <x:f t="shared" si="4"/>
      </x:c>
    </x:row>
    <x:row r="35" ht="46.650001525878906" customHeight="1">
      <x:c r="A35" s="8" t="str">
        <x:f t="shared" si="0"/>
      </x:c>
      <x:c r="B35" s="4"/>
      <x:c r="C35" s="4"/>
      <x:c r="D35" s="4"/>
      <x:c r="E35" s="5"/>
      <x:c r="F35" s="5"/>
      <x:c r="G35" s="5"/>
      <x:c r="H35" s="7" t="str">
        <x:f t="shared" si="1"/>
      </x:c>
      <x:c r="I35" s="6" t="str">
        <x:f t="shared" si="2"/>
      </x:c>
      <x:c r="J35" s="4"/>
      <x:c r="K35" s="4"/>
      <x:c r="L35" s="4"/>
      <x:c r="M35" s="9" t="str">
        <x:f t="shared" si="3"/>
      </x:c>
      <x:c r="N35" s="4"/>
      <x:c r="O35" s="4"/>
      <x:c r="P35" s="4"/>
      <x:c r="Q35" s="4"/>
      <x:c r="R35" s="4"/>
      <x:c r="S35" s="4"/>
      <x:c r="T35" s="5"/>
      <x:c r="U35" s="35" t="str">
        <x:f t="shared" si="4"/>
      </x:c>
    </x:row>
    <x:row r="36" ht="46.650001525878906" customHeight="1">
      <x:c r="A36" s="8" t="str">
        <x:f t="shared" si="0"/>
      </x:c>
      <x:c r="B36" s="4"/>
      <x:c r="C36" s="4"/>
      <x:c r="D36" s="4"/>
      <x:c r="E36" s="5"/>
      <x:c r="F36" s="5"/>
      <x:c r="G36" s="5"/>
      <x:c r="H36" s="7" t="str">
        <x:f t="shared" si="1"/>
      </x:c>
      <x:c r="I36" s="6" t="str">
        <x:f t="shared" si="2"/>
      </x:c>
      <x:c r="J36" s="4"/>
      <x:c r="K36" s="4"/>
      <x:c r="L36" s="4"/>
      <x:c r="M36" s="9" t="str">
        <x:f t="shared" si="3"/>
      </x:c>
      <x:c r="N36" s="4"/>
      <x:c r="O36" s="4"/>
      <x:c r="P36" s="4"/>
      <x:c r="Q36" s="4"/>
      <x:c r="R36" s="4"/>
      <x:c r="S36" s="4"/>
      <x:c r="T36" s="5"/>
      <x:c r="U36" s="35" t="str">
        <x:f t="shared" si="4"/>
      </x:c>
    </x:row>
    <x:row r="37" ht="46.650001525878906" customHeight="1">
      <x:c r="A37" s="8" t="str">
        <x:f t="shared" si="0"/>
      </x:c>
      <x:c r="B37" s="4"/>
      <x:c r="C37" s="4"/>
      <x:c r="D37" s="4"/>
      <x:c r="E37" s="5"/>
      <x:c r="F37" s="5"/>
      <x:c r="G37" s="5"/>
      <x:c r="H37" s="7" t="str">
        <x:f t="shared" si="1"/>
      </x:c>
      <x:c r="I37" s="6" t="str">
        <x:f t="shared" si="2"/>
      </x:c>
      <x:c r="J37" s="4"/>
      <x:c r="K37" s="4"/>
      <x:c r="L37" s="4"/>
      <x:c r="M37" s="9" t="str">
        <x:f t="shared" si="3"/>
      </x:c>
      <x:c r="N37" s="4"/>
      <x:c r="O37" s="4"/>
      <x:c r="P37" s="4"/>
      <x:c r="Q37" s="4"/>
      <x:c r="R37" s="4"/>
      <x:c r="S37" s="4"/>
      <x:c r="T37" s="5"/>
      <x:c r="U37" s="35" t="str">
        <x:f t="shared" si="4"/>
      </x:c>
    </x:row>
    <x:row r="38" ht="46.650001525878906" customHeight="1">
      <x:c r="A38" s="8" t="str">
        <x:f t="shared" si="0"/>
      </x:c>
      <x:c r="B38" s="4"/>
      <x:c r="C38" s="4"/>
      <x:c r="D38" s="4"/>
      <x:c r="E38" s="5"/>
      <x:c r="F38" s="5"/>
      <x:c r="G38" s="5"/>
      <x:c r="H38" s="7" t="str">
        <x:f t="shared" si="1"/>
      </x:c>
      <x:c r="I38" s="6" t="str">
        <x:f t="shared" si="2"/>
      </x:c>
      <x:c r="J38" s="4"/>
      <x:c r="K38" s="4"/>
      <x:c r="L38" s="4"/>
      <x:c r="M38" s="9" t="str">
        <x:f t="shared" si="3"/>
      </x:c>
      <x:c r="N38" s="4"/>
      <x:c r="O38" s="4"/>
      <x:c r="P38" s="4"/>
      <x:c r="Q38" s="4"/>
      <x:c r="R38" s="4"/>
      <x:c r="S38" s="4"/>
      <x:c r="T38" s="5"/>
      <x:c r="U38" s="35" t="str">
        <x:f t="shared" si="4"/>
      </x:c>
    </x:row>
    <x:row r="39" ht="46.650001525878906" customHeight="1">
      <x:c r="A39" s="8" t="str">
        <x:f t="shared" si="0"/>
      </x:c>
      <x:c r="B39" s="4"/>
      <x:c r="C39" s="4"/>
      <x:c r="D39" s="4"/>
      <x:c r="E39" s="5"/>
      <x:c r="F39" s="5"/>
      <x:c r="G39" s="5"/>
      <x:c r="H39" s="7" t="str">
        <x:f t="shared" si="1"/>
      </x:c>
      <x:c r="I39" s="6" t="str">
        <x:f t="shared" si="2"/>
      </x:c>
      <x:c r="J39" s="4"/>
      <x:c r="K39" s="4"/>
      <x:c r="L39" s="4"/>
      <x:c r="M39" s="9" t="str">
        <x:f t="shared" si="3"/>
      </x:c>
      <x:c r="N39" s="4"/>
      <x:c r="O39" s="4"/>
      <x:c r="P39" s="4"/>
      <x:c r="Q39" s="4"/>
      <x:c r="R39" s="4"/>
      <x:c r="S39" s="4"/>
      <x:c r="T39" s="5"/>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row r="43" ht="46.650001525878906" customHeight="1">
      <x:c r="A43" s="8" t="str">
        <x:f t="shared" si="0"/>
      </x:c>
      <x:c r="B43" s="4"/>
      <x:c r="C43" s="4"/>
      <x:c r="D43" s="4"/>
      <x:c r="E43" s="5"/>
      <x:c r="F43" s="5"/>
      <x:c r="G43" s="5"/>
      <x:c r="H43" s="7" t="str">
        <x:f t="shared" si="1"/>
      </x:c>
      <x:c r="I43" s="6" t="str">
        <x:f t="shared" si="2"/>
      </x:c>
      <x:c r="J43" s="4"/>
      <x:c r="K43" s="4"/>
      <x:c r="L43" s="4"/>
      <x:c r="M43" s="9" t="str">
        <x:f t="shared" si="3"/>
      </x:c>
      <x:c r="N43" s="4"/>
      <x:c r="O43" s="4"/>
      <x:c r="P43" s="4"/>
      <x:c r="Q43" s="4"/>
      <x:c r="R43" s="4"/>
      <x:c r="S43" s="4"/>
      <x:c r="T43" s="5"/>
      <x:c r="U43" s="35" t="str">
        <x:f t="shared" si="4"/>
      </x:c>
    </x:row>
    <x:row r="44" ht="46.650001525878906" customHeight="1">
      <x:c r="A44" s="8" t="str">
        <x:f t="shared" si="0"/>
      </x:c>
      <x:c r="B44" s="4"/>
      <x:c r="C44" s="4"/>
      <x:c r="D44" s="4"/>
      <x:c r="E44" s="5"/>
      <x:c r="F44" s="5"/>
      <x:c r="G44" s="5"/>
      <x:c r="H44" s="7" t="str">
        <x:f t="shared" si="1"/>
      </x:c>
      <x:c r="I44" s="6" t="str">
        <x:f t="shared" si="2"/>
      </x:c>
      <x:c r="J44" s="4"/>
      <x:c r="K44" s="4"/>
      <x:c r="L44" s="4"/>
      <x:c r="M44" s="9" t="str">
        <x:f t="shared" si="3"/>
      </x:c>
      <x:c r="N44" s="4"/>
      <x:c r="O44" s="4"/>
      <x:c r="P44" s="4"/>
      <x:c r="Q44" s="4"/>
      <x:c r="R44" s="4"/>
      <x:c r="S44" s="4"/>
      <x:c r="T44" s="5"/>
      <x:c r="U44" s="35" t="str">
        <x:f t="shared" si="4"/>
      </x:c>
    </x:row>
    <x:row r="45" ht="46.650001525878906" customHeight="1">
      <x:c r="A45" s="8" t="str">
        <x:f t="shared" si="0"/>
      </x:c>
      <x:c r="B45" s="4"/>
      <x:c r="C45" s="4"/>
      <x:c r="D45" s="4"/>
      <x:c r="E45" s="5"/>
      <x:c r="F45" s="5"/>
      <x:c r="G45" s="5"/>
      <x:c r="H45" s="7" t="str">
        <x:f t="shared" si="1"/>
      </x:c>
      <x:c r="I45" s="6" t="str">
        <x:f t="shared" si="2"/>
      </x:c>
      <x:c r="J45" s="4"/>
      <x:c r="K45" s="4"/>
      <x:c r="L45" s="4"/>
      <x:c r="M45" s="9" t="str">
        <x:f t="shared" si="3"/>
      </x:c>
      <x:c r="N45" s="4"/>
      <x:c r="O45" s="4"/>
      <x:c r="P45" s="4"/>
      <x:c r="Q45" s="4"/>
      <x:c r="R45" s="4"/>
      <x:c r="S45" s="4"/>
      <x:c r="T45" s="5"/>
      <x:c r="U45" s="35" t="str">
        <x:f t="shared" si="4"/>
      </x:c>
    </x:row>
    <x:row r="46" ht="46.650001525878906" customHeight="1">
      <x:c r="A46" s="8" t="str">
        <x:f t="shared" si="0"/>
      </x:c>
      <x:c r="B46" s="4"/>
      <x:c r="C46" s="4"/>
      <x:c r="D46" s="4"/>
      <x:c r="E46" s="5"/>
      <x:c r="F46" s="5"/>
      <x:c r="G46" s="5"/>
      <x:c r="H46" s="7" t="str">
        <x:f t="shared" si="1"/>
      </x:c>
      <x:c r="I46" s="6" t="str">
        <x:f t="shared" si="2"/>
      </x:c>
      <x:c r="J46" s="4"/>
      <x:c r="K46" s="4"/>
      <x:c r="L46" s="4"/>
      <x:c r="M46" s="9" t="str">
        <x:f t="shared" si="3"/>
      </x:c>
      <x:c r="N46" s="4"/>
      <x:c r="O46" s="4"/>
      <x:c r="P46" s="4"/>
      <x:c r="Q46" s="4"/>
      <x:c r="R46" s="4"/>
      <x:c r="S46" s="4"/>
      <x:c r="T46" s="5"/>
      <x:c r="U46"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6">
    <x:cfRule type="expression" dxfId="31" priority="6">
      <x:formula>AND($C9&lt;&gt;"",$M9="")</x:formula>
    </x:cfRule>
  </x:conditionalFormatting>
  <x:conditionalFormatting sqref="A9:T500">
    <x:cfRule type="expression" dxfId="30" priority="7">
      <x:formula>$B9="Merchant"</x:formula>
    </x:cfRule>
    <x:cfRule type="expression" dxfId="29" priority="8">
      <x:formula>$B9="Remittance"</x:formula>
    </x:cfRule>
    <x:cfRule type="expression" dxfId="28" priority="15">
      <x:formula>AND($C9&lt;&gt;"",$M9="")</x:formula>
    </x:cfRule>
  </x:conditionalFormatting>
  <x:conditionalFormatting sqref="B9:B500">
    <x:cfRule type="expression" dxfId="27" priority="9">
      <x:formula>B9="Remittance"</x:formula>
    </x:cfRule>
  </x:conditionalFormatting>
  <x:conditionalFormatting sqref="I9:I46">
    <x:cfRule type="expression" dxfId="26" priority="1">
      <x:formula>I9="Active"</x:formula>
    </x:cfRule>
    <x:cfRule type="expression" dxfId="25" priority="2">
      <x:formula>I9="End Date Not Stated"</x:formula>
    </x:cfRule>
    <x:cfRule type="expression" dxfId="24" priority="3">
      <x:formula>I9="Expiring ≤7 Days"</x:formula>
    </x:cfRule>
    <x:cfRule type="expression" dxfId="23" priority="4">
      <x:formula>I9="Expiring 8–30 Days"</x:formula>
    </x:cfRule>
    <x:cfRule type="expression" dxfId="22" priority="5">
      <x:formula>I9="Expired"</x:formula>
    </x:cfRule>
  </x:conditionalFormatting>
  <x:conditionalFormatting sqref="I9:I500">
    <x:cfRule type="expression" dxfId="21" priority="10">
      <x:formula>I9="Active"</x:formula>
    </x:cfRule>
    <x:cfRule type="expression" dxfId="20" priority="11">
      <x:formula>I9="End Date Not Stated"</x:formula>
    </x:cfRule>
    <x:cfRule type="expression" dxfId="19" priority="12">
      <x:formula>I9="Expiring ≤7 Days"</x:formula>
    </x:cfRule>
    <x:cfRule type="expression" dxfId="18" priority="13">
      <x:formula>I9="Expiring 8–30 Days"</x:formula>
    </x:cfRule>
    <x:cfRule type="expression" dxfId="17" priority="14">
      <x:formula>I9="Expired"</x:formula>
    </x:cfRule>
  </x:conditionalFormatting>
  <x:conditionalFormatting sqref="U9:U46">
    <x:cfRule type="expression" dxfId="16"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22b8447572ee4d08"/>
  </x:tableParts>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4"/>
  <x:cols>
    <x:col min="1" max="1" width="9" customWidth="1"/>
    <x:col min="2" max="2" width="17" customWidth="1"/>
    <x:col min="3" max="3" width="33" customWidth="1"/>
    <x:col min="4" max="4" width="43" customWidth="1"/>
    <x:col min="5" max="8" width="13" customWidth="1"/>
    <x:col min="9" max="9" width="20" customWidth="1"/>
    <x:col min="10" max="10" width="29" customWidth="1"/>
    <x:col min="11" max="11" width="38" customWidth="1"/>
    <x:col min="12" max="12" width="35" customWidth="1"/>
    <x:col min="13" max="14" width="48" customWidth="1"/>
    <x:col min="15" max="15" width="44" customWidth="1"/>
    <x:col min="16" max="16" width="38" customWidth="1"/>
    <x:col min="17" max="17" width="48" customWidth="1"/>
    <x:col min="18" max="18" width="42" customWidth="1"/>
    <x:col min="19" max="19" width="50" customWidth="1"/>
    <x:col min="20" max="20" width="13" customWidth="1"/>
    <x:col min="21" max="21" width="30" customWidth="1"/>
  </x:cols>
  <x:sheetData>
    <x:row r="1" ht="22.649999618530273" customHeight="1">
      <x:c r="A1" s="52" t="s">
        <x:v>328</x:v>
      </x:c>
      <x:c r="B1" s="52"/>
      <x:c r="C1" s="52"/>
      <x:c r="D1" s="52"/>
      <x:c r="E1" s="52"/>
      <x:c r="F1" s="52"/>
      <x:c r="G1" s="52"/>
      <x:c r="H1" s="52"/>
      <x:c r="I1" s="52"/>
      <x:c r="J1" s="52"/>
      <x:c r="K1" s="52"/>
      <x:c r="L1" s="52"/>
      <x:c r="M1" s="52"/>
      <x:c r="N1" s="52"/>
      <x:c r="O1" s="52"/>
      <x:c r="P1" s="52"/>
      <x:c r="Q1" s="52"/>
      <x:c r="R1" s="52"/>
      <x:c r="S1" s="52"/>
      <x:c r="T1" s="52"/>
    </x:row>
    <x:row r="2" ht="21.399999618530273" customHeight="1">
      <x:c r="A2" s="56" t="s">
        <x:v>47</x:v>
      </x:c>
      <x:c r="B2" s="56"/>
      <x:c r="C2" s="56"/>
      <x:c r="D2" s="56"/>
      <x:c r="E2" s="56"/>
      <x:c r="F2" s="56"/>
      <x:c r="G2" s="56"/>
      <x:c r="H2" s="56"/>
      <x:c r="I2" s="56"/>
      <x:c r="J2" s="56"/>
      <x:c r="K2" s="56"/>
      <x:c r="L2" s="56"/>
      <x:c r="M2" s="57" t="s">
        <x:v>48</x:v>
      </x:c>
      <x:c r="N2" s="57"/>
      <x:c r="O2" s="57"/>
      <x:c r="P2" s="57"/>
      <x:c r="Q2" s="57"/>
      <x:c r="R2" s="57"/>
      <x:c r="S2" s="57"/>
      <x:c r="T2" s="57"/>
      <x:c r="U2" s="57"/>
    </x:row>
    <x:row r="4">
      <x:c r="A4" s="41" t="s">
        <x:v>49</x:v>
      </x:c>
      <x:c r="B4" s="41"/>
      <x:c r="C4" s="41"/>
      <x:c r="D4" s="41"/>
      <x:c r="E4" s="41" t="s">
        <x:v>4</x:v>
      </x:c>
      <x:c r="F4" s="41"/>
      <x:c r="G4" s="41"/>
      <x:c r="H4" s="41"/>
      <x:c r="I4" s="43" t="s">
        <x:v>5</x:v>
      </x:c>
      <x:c r="J4" s="43"/>
      <x:c r="K4" s="43"/>
      <x:c r="L4" s="43"/>
      <x:c r="M4" s="44" t="s">
        <x:v>6</x:v>
      </x:c>
      <x:c r="N4" s="44"/>
      <x:c r="O4" s="44"/>
      <x:c r="P4" s="44"/>
      <x:c r="Q4" s="41" t="s">
        <x:v>7</x:v>
      </x:c>
      <x:c r="R4" s="41"/>
      <x:c r="S4" s="41"/>
      <x:c r="T4" s="41"/>
    </x:row>
    <x:row r="5" ht="23">
      <x:c r="A5" s="53" t="n">
        <x:f>COUNTIFS('alinma pay'!$C$9:$C$500,"&lt;&gt;",'alinma pay'!$M$9:$M$500,"&lt;&gt;",'alinma pay'!$B$9:$B$500,"&lt;&gt;Merchant")</x:f>
        <x:v>5</x:v>
      </x:c>
      <x:c r="B5" s="53"/>
      <x:c r="C5" s="53"/>
      <x:c r="D5" s="53"/>
      <x:c r="E5" s="53" t="n">
        <x:f>COUNTIFS('alinma pay'!$C$9:$C$500,"&lt;&gt;",'alinma pay'!$M$9:$M$500,"&lt;&gt;",'alinma pay'!$B$9:$B$500,"&lt;&gt;Merchant",'alinma pay'!$I$9:$I$500,"&lt;&gt;Expired")</x:f>
        <x:v>5</x:v>
      </x:c>
      <x:c r="F5" s="53"/>
      <x:c r="G5" s="53"/>
      <x:c r="H5" s="53"/>
      <x:c r="I5" s="54" t="n">
        <x:f>COUNTIFS('alinma pay'!$C$9:$C$500,"&lt;&gt;",'alinma pay'!$M$9:$M$500,"&lt;&gt;",'alinma pay'!$B$9:$B$500,"&lt;&gt;Merchant",'alinma pay'!$I$9:$I$500,"&lt;&gt;Expired",'alinma pay'!$B$9:$B$500,"Remittance")</x:f>
        <x:v>2</x:v>
      </x:c>
      <x:c r="J5" s="54"/>
      <x:c r="K5" s="54"/>
      <x:c r="L5" s="54"/>
      <x:c r="M5" s="55" t="n">
        <x:f>COUNTIFS('alinma pay'!$C$9:$C$500,"&lt;&gt;",'alinma pay'!$M$9:$M$500,"&lt;&gt;",'alinma pay'!$B$9:$B$500,"Merchant",'alinma pay'!$I$9:$I$500,"&lt;&gt;Expired")</x:f>
        <x:v>0</x:v>
      </x:c>
      <x:c r="N5" s="55"/>
      <x:c r="O5" s="55"/>
      <x:c r="P5" s="55"/>
      <x:c r="Q5" s="53" t="n">
        <x:f>COUNTIFS('alinma pay'!$C$9:$C$500,"&lt;&gt;",'alinma pay'!$M$9:$M$500,"&lt;&gt;",'alinma pay'!$B$9:$B$500,"&lt;&gt;Merchant",'alinma pay'!$I$9:$I$500,"Expiring ≤7 Days")+COUNTIFS('alinma pay'!$C$9:$C$500,"&lt;&gt;",'alinma pay'!$M$9:$M$500,"&lt;&gt;",'alinma pay'!$B$9:$B$500,"&lt;&gt;Merchant",'alinma pay'!$I$9:$I$500,"Expiring 8–30 Days")</x:f>
        <x:v>1</x:v>
      </x:c>
      <x:c r="R5" s="53"/>
      <x:c r="S5" s="53"/>
      <x:c r="T5" s="53"/>
    </x:row>
    <x:row r="8" ht="30.649999618530273" customHeight="1">
      <x:c r="A8" s="3" t="s">
        <x:v>50</x:v>
      </x:c>
      <x:c r="B8" s="3" t="s">
        <x:v>27</x:v>
      </x:c>
      <x:c r="C8" s="3" t="s">
        <x:v>51</x:v>
      </x:c>
      <x:c r="D8" s="3" t="s">
        <x:v>52</x:v>
      </x:c>
      <x:c r="E8" s="3" t="s">
        <x:v>53</x:v>
      </x:c>
      <x:c r="F8" s="3" t="s">
        <x:v>54</x:v>
      </x:c>
      <x:c r="G8" s="3" t="s">
        <x:v>55</x:v>
      </x:c>
      <x:c r="H8" s="3" t="s">
        <x:v>56</x:v>
      </x:c>
      <x:c r="I8" s="3" t="s">
        <x:v>57</x:v>
      </x:c>
      <x:c r="J8" s="3" t="s">
        <x:v>58</x:v>
      </x:c>
      <x:c r="K8" s="3" t="s">
        <x:v>59</x:v>
      </x:c>
      <x:c r="L8" s="3" t="s">
        <x:v>60</x:v>
      </x:c>
      <x:c r="M8" s="3" t="s">
        <x:v>61</x:v>
      </x:c>
      <x:c r="N8" s="3" t="s">
        <x:v>62</x:v>
      </x:c>
      <x:c r="O8" s="3" t="s">
        <x:v>63</x:v>
      </x:c>
      <x:c r="P8" s="3" t="s">
        <x:v>64</x:v>
      </x:c>
      <x:c r="Q8" s="3" t="s">
        <x:v>65</x:v>
      </x:c>
      <x:c r="R8" s="3" t="s">
        <x:v>66</x:v>
      </x:c>
      <x:c r="S8" s="3" t="s">
        <x:v>67</x:v>
      </x:c>
      <x:c r="T8" s="3" t="s">
        <x:v>68</x:v>
      </x:c>
      <x:c r="U8" s="34" t="s">
        <x:v>69</x:v>
      </x:c>
    </x:row>
    <x:row r="9" ht="46.650001525878906" customHeight="1">
      <x:c r="A9" s="8" t="n">
        <x:f t="shared" ref="A9:A42" si="0">IF(C9="","",ROW()-8)</x:f>
        <x:v>1</x:v>
      </x:c>
      <x:c r="B9" s="4" t="inlineStr">
        <x:is>
          <x:t xml:space="preserve">Card</x:t>
        </x:is>
      </x:c>
      <x:c r="C9" s="4" t="inlineStr">
        <x:is>
          <x:t xml:space="preserve">Visa Signature: 2% Cashback</x:t>
        </x:is>
      </x:c>
      <x:c r="D9" s="4" t="inlineStr">
        <x:is>
          <x:t xml:space="preserve">2% cashback on restaurants, supermarkets, grocery stores, and fuel, capped at SAR 300.</x:t>
        </x:is>
      </x:c>
      <x:c r="E9" s="5"/>
      <x:c r="F9" s="5" t="n">
        <x:v>46210.0</x:v>
      </x:c>
      <x:c r="G9" s="5" t="n">
        <x:v>46241.0</x:v>
      </x:c>
      <x:c r="H9" s="7" t="n">
        <x:f t="shared" ref="H9:H42" si="1">IF(OR(C9="",G9=""),"",G9-TODAY())</x:f>
        <x:v>1</x:v>
      </x:c>
      <x:c r="I9" s="6" t="str">
        <x:f t="shared" ref="I9:I42" si="2">IF(C9="","",IF(G9="","End Date Not Stated",IF(G9&lt;TODAY(),"Expired",IF(G9&lt;=TODAY()+7,"Expiring ≤7 Days",IF(G9&lt;=TODAY()+30,"Expiring 8–30 Days","Active")))))</x:f>
        <x:v>Expiring ≤7 Days</x:v>
      </x:c>
      <x:c r="J9" s="4" t="inlineStr">
        <x:is>
          <x:t xml:space="preserve">Everyday Visa Signature purchases</x:t>
        </x:is>
      </x:c>
      <x:c r="K9" s="4" t="inlineStr">
        <x:is>
          <x:t xml:space="preserve">2% cashback capped at SAR 300</x:t>
        </x:is>
      </x:c>
      <x:c r="L9" s="4" t="inlineStr">
        <x:is>
          <x:t xml:space="preserve">alinma pay Visa Signature card</x:t>
        </x:is>
      </x:c>
      <x:c r="M9" s="9" t="str">
        <x:f t="shared" ref="M9:M42" si="3">IF(C9="","",IF(N9&lt;&gt;"",N9,IF(O9&lt;&gt;"",O9,IF(P9&lt;&gt;"",P9,IF(Q9&lt;&gt;"",Q9,IF(R9&lt;&gt;"",R9,""))))))</x:f>
        <x:v>https://www.instagram.com/alinmapay/p/CC4JUxohSuN/</x:v>
      </x:c>
      <x:c r="N9" s="4"/>
      <x:c r="O9" s="63" t="inlineStr">
        <x:is>
          <x:t xml:space="preserve">https://www.instagram.com/alinmapay/p/CC4JUxohSuN/</x:t>
        </x:is>
      </x:c>
      <x:c r="P9" s="4" t="inlineStr">
        <x:is>
          <x:t xml:space="preserve">https://x.com/alinmapay/status/2074871700508832252</x:t>
        </x:is>
      </x:c>
      <x:c r="Q9" s="63" t="inlineStr">
        <x:is>
          <x:t xml:space="preserve">https://www.facebook.com/AlinmaPaySA/posts/weve-extended-the-offer-and-increased-the-limit-enjoy-up-to-2-cashback-with-the-/1632962732164891/</x:t>
        </x:is>
      </x:c>
      <x:c r="R9" s="4"/>
      <x:c r="S9" s="4" t="inlineStr">
        <x:is>
          <x:t xml:space="preserve">Eligible merchant categories include restaurants, supermarkets, grocery stores, and fuel. Social verification: The official X post explicitly states the extended 2% cashback offer and the SAR 300 cap.</x:t>
        </x:is>
      </x:c>
      <x:c r="T9" s="5" t="n">
        <x:v>46240.0</x:v>
      </x:c>
      <x:c r="U9" s="35" t="str">
        <x:f t="shared" ref="U9:U42" si="4">IF(C9="","",IF(COUNTA(O9:R9)=0,"No direct social post verified",IF(O9&lt;&gt;"","Instagram","")&amp;IF(AND(O9&lt;&gt;"",OR(P9&lt;&gt;"",Q9&lt;&gt;"",R9&lt;&gt;"")),", ","")&amp;IF(P9&lt;&gt;"","X","")&amp;IF(AND(P9&lt;&gt;"",OR(Q9&lt;&gt;"",R9&lt;&gt;"")),", ","")&amp;IF(Q9&lt;&gt;"","Facebook","")&amp;IF(AND(Q9&lt;&gt;"",R9&lt;&gt;""),", ","")&amp;IF(R9&lt;&gt;"","TikTok","")))</x:f>
        <x:v>Instagram, X, Facebook</x:v>
      </x:c>
    </x:row>
    <x:row r="10" ht="46.650001525878906" customHeight="1">
      <x:c r="A10" s="8" t="n">
        <x:f t="shared" si="0">IF(C10="","",ROW()-8)</x:f>
        <x:v>2</x:v>
      </x:c>
      <x:c r="B10" s="4" t="inlineStr">
        <x:is>
          <x:t xml:space="preserve">Card</x:t>
        </x:is>
      </x:c>
      <x:c r="C10" s="4" t="inlineStr">
        <x:is>
          <x:t xml:space="preserve">Zero International Transaction Fees on Cashback Cards</x:t>
        </x:is>
      </x:c>
      <x:c r="D10" s="4" t="inlineStr">
        <x:is>
          <x:t xml:space="preserve">Use alinma pay Cashback Cards internationally with no foreign transaction fees, no fees on the first two international cash withdrawals, and cashback on eligible purchases.</x:t>
        </x:is>
      </x:c>
      <x:c r="E10" s="5"/>
      <x:c r="F10" s="5" t="n">
        <x:v>46197.0</x:v>
      </x:c>
      <x:c r="G10" s="5" t="n">
        <x:v>46265.0</x:v>
      </x:c>
      <x:c r="H10" s="7" t="str">
        <x:f t="shared" si="1">IF(OR(C10="",G10=""),"",G10-TODAY())</x:f>
      </x:c>
      <x:c r="I10" s="6" t="str">
        <x:f t="shared" si="2">IF(C10="","",IF(G10="","End Date Not Stated",IF(G10&lt;TODAY(),"Expired",IF(G10&lt;=TODAY()+7,"Expiring ≤7 Days",IF(G10&lt;=TODAY()+30,"Expiring 8–30 Days","Active")))))</x:f>
        <x:v>End Date Not Stated</x:v>
      </x:c>
      <x:c r="J10" s="4" t="inlineStr">
        <x:is>
          <x:t xml:space="preserve">International card purchases and overseas ATM withdrawals</x:t>
        </x:is>
      </x:c>
      <x:c r="K10" s="4" t="inlineStr">
        <x:is>
          <x:t xml:space="preserve">Zero international transaction fees, first two international cash withdrawals free, plus cashback on eligible purchases</x:t>
        </x:is>
      </x:c>
      <x:c r="L10" s="4" t="inlineStr">
        <x:is>
          <x:t xml:space="preserve">alinma pay Cashback Cards</x:t>
        </x:is>
      </x:c>
      <x:c r="M10" s="9" t="str">
        <x:f t="shared" si="3">IF(C10="","",IF(N10&lt;&gt;"",N10,IF(O10&lt;&gt;"",O10,IF(P10&lt;&gt;"",P10,IF(Q10&lt;&gt;"",Q10,IF(R10&lt;&gt;"",R10,""))))))</x:f>
        <x:v>https://www.facebook.com/AlinmaPaySA/posts/%EF%B8%8F-fees-gonetravel-anywhere-and-use-your-alinmapay-cashback-cards-without-worryin/1619335260194305/</x:v>
      </x:c>
      <x:c r="N10" s="4" t="inlineStr">
        <x:is>
          <x:t xml:space="preserve">https://www.alinmapay.com.sa/Offers/OIF-JUN2026</x:t>
        </x:is>
      </x:c>
      <x:c r="O10" s="4"/>
      <x:c r="P10" s="4"/>
      <x:c r="Q10" s="63" t="inlineStr">
        <x:is>
          <x:t xml:space="preserve">https://www.facebook.com/AlinmaPaySA/posts/%EF%B8%8F-fees-gonetravel-anywhere-and-use-your-alinmapay-cashback-cards-without-worryin/1619335260194305/</x:t>
        </x:is>
      </x:c>
      <x:c r="R10" s="4"/>
      <x:c r="S10" s="4" t="inlineStr">
        <x:is>
          <x:t xml:space="preserve">Current summer messaging confirms no international transaction fees, no fees on the first two international cash withdrawals, and cashback on eligible purchases. No campaign end date is stated.</x:t>
        </x:is>
      </x:c>
      <x:c r="T10" s="5" t="n">
        <x:v>46240.0</x:v>
      </x:c>
      <x:c r="U10" s="35" t="str">
        <x:f t="shared" si="4">IF(C10="","",IF(COUNTA(O10:R10)=0,"No direct social post verified",IF(O10&lt;&gt;"","Instagram","")&amp;IF(AND(O10&lt;&gt;"",OR(P10&lt;&gt;"",Q10&lt;&gt;"",R10&lt;&gt;"")),", ","")&amp;IF(P10&lt;&gt;"","X","")&amp;IF(AND(P10&lt;&gt;"",OR(Q10&lt;&gt;"",R10&lt;&gt;"")),", ","")&amp;IF(Q10&lt;&gt;"","Facebook","")&amp;IF(AND(Q10&lt;&gt;"",R10&lt;&gt;""),", ","")&amp;IF(R10&lt;&gt;"","TikTok","")))</x:f>
        <x:v>Facebook</x:v>
      </x:c>
    </x:row>
    <x:row r="11" ht="46.650001525878906" customHeight="1">
      <x:c r="A11" s="8" t="n">
        <x:f t="shared" si="0">IF(C11="","",ROW()-8)</x:f>
        <x:v>3</x:v>
      </x:c>
      <x:c r="B11" s="4" t="inlineStr">
        <x:is>
          <x:t xml:space="preserve">Remittance</x:t>
        </x:is>
      </x:c>
      <x:c r="C11" s="4" t="inlineStr">
        <x:is>
          <x:t xml:space="preserve">International Transfers for SAR 5</x:t>
        </x:is>
      </x:c>
      <x:c r="D11" s="4" t="inlineStr">
        <x:is>
          <x:t xml:space="preserve">Flat SAR 5 transfer fee to multiple international corridors.</x:t>
        </x:is>
      </x:c>
      <x:c r="E11" s="5"/>
      <x:c r="F11" s="5" t="n">
        <x:v>46242.0</x:v>
      </x:c>
      <x:c r="G11" s="5" t="n">
        <x:v>46387.0</x:v>
      </x:c>
      <x:c r="H11" s="7" t="str">
        <x:f t="shared" si="1">IF(OR(C11="",G11=""),"",G11-TODAY())</x:f>
      </x:c>
      <x:c r="I11" s="6" t="str">
        <x:f t="shared" si="2">IF(C11="","",IF(G11="","End Date Not Stated",IF(G11&lt;TODAY(),"Expired",IF(G11&lt;=TODAY()+7,"Expiring ≤7 Days",IF(G11&lt;=TODAY()+30,"Expiring 8–30 Days","Active")))))</x:f>
        <x:v>End Date Not Stated</x:v>
      </x:c>
      <x:c r="J11" s="4" t="inlineStr">
        <x:is>
          <x:t xml:space="preserve">International transfers through alinma pay Direct</x:t>
        </x:is>
      </x:c>
      <x:c r="K11" s="4" t="inlineStr">
        <x:is>
          <x:t xml:space="preserve">Flat SAR 5 transfer fee</x:t>
        </x:is>
      </x:c>
      <x:c r="L11" s="4" t="inlineStr">
        <x:is>
          <x:t xml:space="preserve">Transfers to listed destinations including the Philippines, Egypt, Bangladesh, Sri Lanka, Indonesia, Nepal, Jordan, and Morocco</x:t>
        </x:is>
      </x:c>
      <x:c r="M11" s="9" t="str">
        <x:f t="shared" si="3">IF(C11="","",IF(N11&lt;&gt;"",N11,IF(O11&lt;&gt;"",O11,IF(P11&lt;&gt;"",P11,IF(Q11&lt;&gt;"",Q11,IF(R11&lt;&gt;"",R11,""))))))</x:f>
        <x:v>https://www.instagram.com/alinmapay/p/CC_U-JDB6yh/</x:v>
      </x:c>
      <x:c r="N11" s="4" t="inlineStr">
        <x:is>
          <x:t xml:space="preserve">https://www.alinmapay.com.sa/Offers/India-Transfer-Fee-Offer-Aug26</x:t>
        </x:is>
      </x:c>
      <x:c r="O11" s="63" t="inlineStr">
        <x:is>
          <x:t xml:space="preserve">https://www.instagram.com/alinmapay/p/CC_U-JDB6yh/</x:t>
        </x:is>
      </x:c>
      <x:c r="P11" s="4" t="inlineStr">
        <x:is>
          <x:t xml:space="preserve">https://x.com/alinmapay/status/1978784486424035774</x:t>
        </x:is>
      </x:c>
      <x:c r="Q11" s="63" t="inlineStr">
        <x:is>
          <x:t xml:space="preserve">https://www.facebook.com/AlinmaPaySA/posts/lower-fees-easier-transfers-send-money-to-india-and-bangladesh-through-alinmapay/1606878421439989/</x:t>
        </x:is>
      </x:c>
      <x:c r="R11" s="4"/>
      <x:c r="S11" s="4"/>
      <x:c r="T11" s="5" t="n">
        <x:v>46240.0</x:v>
      </x:c>
      <x:c r="U11" s="35" t="str">
        <x:f t="shared" si="4">IF(C11="","",IF(COUNTA(O11:R11)=0,"No direct social post verified",IF(O11&lt;&gt;"","Instagram","")&amp;IF(AND(O11&lt;&gt;"",OR(P11&lt;&gt;"",Q11&lt;&gt;"",R11&lt;&gt;"")),", ","")&amp;IF(P11&lt;&gt;"","X","")&amp;IF(AND(P11&lt;&gt;"",OR(Q11&lt;&gt;"",R11&lt;&gt;"")),", ","")&amp;IF(Q11&lt;&gt;"","Facebook","")&amp;IF(AND(Q11&lt;&gt;"",R11&lt;&gt;""),", ","")&amp;IF(R11&lt;&gt;"","TikTok","")))</x:f>
        <x:v>Instagram, X, Facebook</x:v>
      </x:c>
    </x:row>
    <x:row r="12" ht="46.650001525878906" customHeight="1">
      <x:c r="A12" s="8" t="n">
        <x:f t="shared" si="0">IF(C12="","",ROW()-8)</x:f>
        <x:v>4</x:v>
      </x:c>
      <x:c r="B12" s="4" t="inlineStr">
        <x:is>
          <x:t xml:space="preserve">Remittance</x:t>
        </x:is>
      </x:c>
      <x:c r="C12" s="4" t="inlineStr">
        <x:is>
          <x:t xml:space="preserve">Zero-Fee Transfers to India from SAR 700</x:t>
        </x:is>
      </x:c>
      <x:c r="D12" s="4" t="inlineStr">
        <x:is>
          <x:t xml:space="preserve">Transfers of SAR 700 or more to Indian bank accounts are promoted with zero transfer fees.</x:t>
        </x:is>
      </x:c>
      <x:c r="E12" s="5" t="n">
        <x:v>46068.0</x:v>
      </x:c>
      <x:c r="F12" s="5"/>
      <x:c r="G12" s="5"/>
      <x:c r="H12" s="7" t="str">
        <x:f t="shared" si="1">IF(OR(C12="",G12=""),"",G12-TODAY())</x:f>
      </x:c>
      <x:c r="I12" s="6" t="str">
        <x:f t="shared" si="2">IF(C12="","",IF(G12="","End Date Not Stated",IF(G12&lt;TODAY(),"Expired",IF(G12&lt;=TODAY()+7,"Expiring ≤7 Days",IF(G12&lt;=TODAY()+30,"Expiring 8–30 Days","Active")))))</x:f>
        <x:v>End Date Not Stated</x:v>
      </x:c>
      <x:c r="J12" s="4" t="inlineStr">
        <x:is>
          <x:t xml:space="preserve">International transfers to India</x:t>
        </x:is>
      </x:c>
      <x:c r="K12" s="4" t="inlineStr">
        <x:is>
          <x:t xml:space="preserve">Zero transfer fee for transfers of SAR 700 or more</x:t>
        </x:is>
      </x:c>
      <x:c r="L12" s="4" t="inlineStr">
        <x:is>
          <x:t xml:space="preserve">alinma pay Direct customers transferring to eligible Indian bank accounts</x:t>
        </x:is>
      </x:c>
      <x:c r="M12" s="9" t="str">
        <x:f t="shared" si="3">IF(C12="","",IF(N12&lt;&gt;"",N12,IF(O12&lt;&gt;"",O12,IF(P12&lt;&gt;"",P12,IF(Q12&lt;&gt;"",Q12,IF(R12&lt;&gt;"",R12,""))))))</x:f>
        <x:v>https://www.facebook.com/AlinmaPaySA/videos/zero-fees-fast-transfers-to-india/873682655502395/</x:v>
      </x:c>
      <x:c r="N12" s="4"/>
      <x:c r="O12" s="4"/>
      <x:c r="P12" s="4"/>
      <x:c r="Q12" s="63" t="inlineStr">
        <x:is>
          <x:t xml:space="preserve">https://www.facebook.com/AlinmaPaySA/videos/zero-fees-fast-transfers-to-india/873682655502395/</x:t>
        </x:is>
      </x:c>
      <x:c r="R12" s="4"/>
      <x:c r="S12" s="4" t="inlineStr">
        <x:is>
          <x:t xml:space="preserve">Campaign end date is not stated in the official video.</x:t>
        </x:is>
      </x:c>
      <x:c r="T12" s="5" t="n">
        <x:v>46240.0</x:v>
      </x:c>
      <x:c r="U12" s="35" t="str">
        <x:f t="shared" si="4">IF(C12="","",IF(COUNTA(O12:R12)=0,"No direct social post verified",IF(O12&lt;&gt;"","Instagram","")&amp;IF(AND(O12&lt;&gt;"",OR(P12&lt;&gt;"",Q12&lt;&gt;"",R12&lt;&gt;"")),", ","")&amp;IF(P12&lt;&gt;"","X","")&amp;IF(AND(P12&lt;&gt;"",OR(Q12&lt;&gt;"",R12&lt;&gt;"")),", ","")&amp;IF(Q12&lt;&gt;"","Facebook","")&amp;IF(AND(Q12&lt;&gt;"",R12&lt;&gt;""),", ","")&amp;IF(R12&lt;&gt;"","TikTok","")))</x:f>
        <x:v>Facebook</x:v>
      </x:c>
    </x:row>
    <x:row r="13" ht="46.650001525878906" customHeight="1">
      <x:c r="A13" s="8" t="n">
        <x:f t="shared" si="0">IF(C13="","",ROW()-8)</x:f>
        <x:v>5</x:v>
      </x:c>
      <x:c r="B13" s="4" t="inlineStr">
        <x:is>
          <x:t xml:space="preserve">Musaned</x:t>
        </x:is>
      </x:c>
      <x:c r="C13" s="4" t="inlineStr">
        <x:is>
          <x:t xml:space="preserve">Musaned Salary Transfer – 100% Cashback Draw</x:t>
        </x:is>
      </x:c>
      <x:c r="D13" s="4" t="inlineStr">
        <x:is>
          <x:t xml:space="preserve">Transfer a domestic worker's salary through Musaned in alinma pay for a chance to win 100% cashback.</x:t>
        </x:is>
      </x:c>
      <x:c r="E13" s="5" t="n">
        <x:v>46239.0</x:v>
      </x:c>
      <x:c r="F13" s="5"/>
      <x:c r="G13" s="5" t="n">
        <x:v>46384.0</x:v>
      </x:c>
      <x:c r="H13" s="7" t="str">
        <x:f t="shared" si="1">IF(OR(C13="",G13=""),"",G13-TODAY())</x:f>
      </x:c>
      <x:c r="I13" s="6" t="str">
        <x:f t="shared" si="2">IF(C13="","",IF(G13="","End Date Not Stated",IF(G13&lt;TODAY(),"Expired",IF(G13&lt;=TODAY()+7,"Expiring ≤7 Days",IF(G13&lt;=TODAY()+30,"Expiring 8–30 Days","Active")))))</x:f>
        <x:v>End Date Not Stated</x:v>
      </x:c>
      <x:c r="J13" s="4" t="inlineStr">
        <x:is>
          <x:t xml:space="preserve">Domestic worker salary transfer through Musaned</x:t>
        </x:is>
      </x:c>
      <x:c r="K13" s="4" t="inlineStr">
        <x:is>
          <x:t xml:space="preserve">Three winners receive 100% cashback up to SAR 1,000</x:t>
        </x:is>
      </x:c>
      <x:c r="L13" s="4" t="inlineStr">
        <x:is>
          <x:t xml:space="preserve">alinma pay customers transferring domestic-worker salaries through Musaned</x:t>
        </x:is>
      </x:c>
      <x:c r="M13" s="9" t="str">
        <x:f t="shared" si="3">IF(C13="","",IF(N13&lt;&gt;"",N13,IF(O13&lt;&gt;"",O13,IF(P13&lt;&gt;"",P13,IF(Q13&lt;&gt;"",Q13,IF(R13&lt;&gt;"",R13,""))))))</x:f>
        <x:v>https://www.instagram.com/alinmapay/p/DbqaY05mm9E/</x:v>
      </x:c>
      <x:c r="N13" s="4" t="inlineStr">
        <x:is>
          <x:t xml:space="preserve">https://www.alinmapay.com.sa/Offers/Musaned-Cashback</x:t>
        </x:is>
      </x:c>
      <x:c r="O13" s="4" t="inlineStr">
        <x:is>
          <x:t xml:space="preserve">https://www.instagram.com/alinmapay/p/DbqaY05mm9E/</x:t>
        </x:is>
      </x:c>
      <x:c r="P13" s="4" t="inlineStr">
        <x:is>
          <x:t xml:space="preserve">https://x.com/alinmapay/status/2085018248685232195</x:t>
        </x:is>
      </x:c>
      <x:c r="Q13" s="4"/>
      <x:c r="R13" s="4"/>
      <x:c r="S13" s="4"/>
      <x:c r="T13" s="5" t="n">
        <x:v>46240.0</x:v>
      </x:c>
      <x:c r="U13" s="35" t="str">
        <x:f t="shared" si="4">IF(C13="","",IF(COUNTA(O13:R13)=0,"No direct social post verified",IF(O13&lt;&gt;"","Instagram","")&amp;IF(AND(O13&lt;&gt;"",OR(P13&lt;&gt;"",Q13&lt;&gt;"",R13&lt;&gt;"")),", ","")&amp;IF(P13&lt;&gt;"","X","")&amp;IF(AND(P13&lt;&gt;"",OR(Q13&lt;&gt;"",R13&lt;&gt;"")),", ","")&amp;IF(Q13&lt;&gt;"","Facebook","")&amp;IF(AND(Q13&lt;&gt;"",R13&lt;&gt;""),", ","")&amp;IF(R13&lt;&gt;"","TikTok","")))</x:f>
        <x:v>Instagram, X</x:v>
      </x:c>
    </x:row>
    <x:row r="14" ht="46.650001525878906" customHeight="1">
      <x:c r="A14" s="8" t="str">
        <x:f t="shared" si="0"/>
      </x:c>
      <x:c r="B14" s="4" t="inlineStr">
        <x:is>
          <x:t xml:space="preserve">Merchant</x:t>
        </x:is>
      </x:c>
      <x:c r="C14" s="4" t="inlineStr">
        <x:is>
          <x:t xml:space="preserve">استمتع بأجواء رائعة بخصم 20% في اجو</x:t>
        </x:is>
      </x:c>
      <x:c r="D14" s="4" t="inlineStr">
        <x:is>
          <x:t xml:space="preserve">استمتع بأجواء رائعة بخصم 20% في اجو الشروط والأحكام: • استمتع بأجواء رائعة في اجو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x:t>
        </x:is>
      </x:c>
      <x:c r="E14" s="5"/>
      <x:c r="F14" s="5" t="n">
        <x:v>45998.0</x:v>
      </x:c>
      <x:c r="G14" s="5" t="n">
        <x:v>46346.0</x:v>
      </x:c>
      <x:c r="H14" s="7" t="str">
        <x:f t="shared" si="1"/>
      </x:c>
      <x:c r="I14" s="6" t="str">
        <x:f t="shared" si="2"/>
      </x:c>
      <x:c r="J14" s="4"/>
      <x:c r="K14" s="4"/>
      <x:c r="L14" s="4"/>
      <x:c r="M14" s="9" t="str">
        <x:f t="shared" si="3"/>
      </x:c>
      <x:c r="N14" s="4" t="inlineStr">
        <x:is>
          <x:t xml:space="preserve">https://www.alinmapay.com.sa/Offers/Agio-dec25</x:t>
        </x:is>
      </x:c>
      <x:c r="O14" s="4"/>
      <x:c r="P14" s="4"/>
      <x:c r="Q14" s="4"/>
      <x:c r="R14" s="4"/>
      <x:c r="S14" s="4"/>
      <x:c r="T14" s="5" t="n">
        <x:v>46259.741513515</x:v>
      </x:c>
      <x:c r="U14" s="35" t="str">
        <x:f t="shared" si="4"/>
      </x:c>
    </x:row>
    <x:row r="15" ht="46.650001525878906" customHeight="1">
      <x:c r="A15" s="8" t="str">
        <x:f t="shared" si="0"/>
      </x:c>
      <x:c r="B15" s="4" t="inlineStr">
        <x:is>
          <x:t xml:space="preserve">Merchant</x:t>
        </x:is>
      </x:c>
      <x:c r="C15" s="4" t="inlineStr">
        <x:is>
          <x:t xml:space="preserve">استمتع بأجواء رائعة بخصم 20% في بيف بار</x:t>
        </x:is>
      </x:c>
      <x:c r="D15" s="4" t="inlineStr">
        <x:is>
          <x:t xml:space="preserve">استمتع بأجواء رائعة بخصم 20% في بيف بار الشروط والأحكام : • استمتع بأجواء رائعة في بيف بار واستمتع بخصم 20% عند الدفع باستخدام بطاقات الكاش باك للإنماء باي • يسري العرض حتى 20-11-2026.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التأسيس – ويوم 31/12 ويوم 01/01 م</x:t>
        </x:is>
      </x:c>
      <x:c r="E15" s="5"/>
      <x:c r="F15" s="5"/>
      <x:c r="G15" s="5" t="n">
        <x:v>46346.0</x:v>
      </x:c>
      <x:c r="H15" s="7" t="str">
        <x:f t="shared" si="1"/>
      </x:c>
      <x:c r="I15" s="6" t="str">
        <x:f t="shared" si="2"/>
      </x:c>
      <x:c r="J15" s="4"/>
      <x:c r="K15" s="4"/>
      <x:c r="L15" s="4"/>
      <x:c r="M15" s="9" t="str">
        <x:f t="shared" si="3"/>
      </x:c>
      <x:c r="N15" s="4" t="inlineStr">
        <x:is>
          <x:t xml:space="preserve">https://www.alinmapay.com.sa/Offers/Winter---Beefbar-offer-Dece25</x:t>
        </x:is>
      </x:c>
      <x:c r="O15" s="4"/>
      <x:c r="P15" s="4"/>
      <x:c r="Q15" s="4"/>
      <x:c r="R15" s="4"/>
      <x:c r="S15" s="4"/>
      <x:c r="T15" s="5" t="n">
        <x:v>46259.741513515</x:v>
      </x:c>
      <x:c r="U15" s="35" t="str">
        <x:f t="shared" si="4"/>
      </x:c>
    </x:row>
    <x:row r="16" ht="46.650001525878906" customHeight="1">
      <x:c r="A16" s="8" t="str">
        <x:f t="shared" si="0"/>
      </x:c>
      <x:c r="B16" s="4" t="inlineStr">
        <x:is>
          <x:t xml:space="preserve">Merchant</x:t>
        </x:is>
      </x:c>
      <x:c r="C16" s="4" t="inlineStr">
        <x:is>
          <x:t xml:space="preserve">استمتع بأجواء رائعة بخصم 20% في سان كارلو شيكيتي</x:t>
        </x:is>
      </x:c>
      <x:c r="D16" s="4" t="inlineStr">
        <x:is>
          <x:t xml:space="preserve">استمتع بأجواء رائعة في سان كارلو شيكيتي واستمتع بخصم 20% عند الدفع باستخدام بطاقات الكاش باك للإنماء باي يسري العرض حتى 20-11-2026.</x:t>
        </x:is>
      </x:c>
      <x:c r="E16" s="5"/>
      <x:c r="F16" s="5"/>
      <x:c r="G16" s="5" t="n">
        <x:v>46346.0</x:v>
      </x:c>
      <x:c r="H16" s="7" t="str">
        <x:f t="shared" si="1"/>
      </x:c>
      <x:c r="I16" s="6" t="str">
        <x:f t="shared" si="2"/>
      </x:c>
      <x:c r="J16" s="4"/>
      <x:c r="K16" s="4"/>
      <x:c r="L16" s="4"/>
      <x:c r="M16" s="9" t="str">
        <x:f t="shared" si="3"/>
      </x:c>
      <x:c r="N16" s="4" t="inlineStr">
        <x:is>
          <x:t xml:space="preserve">https://www.alinmapay.com.sa/Offers/Winter-San-Carlo-Cicchetti-offer-Dece25</x:t>
        </x:is>
      </x:c>
      <x:c r="O16" s="4"/>
      <x:c r="P16" s="4"/>
      <x:c r="Q16" s="4"/>
      <x:c r="R16" s="4"/>
      <x:c r="S16" s="4"/>
      <x:c r="T16" s="5" t="n">
        <x:v>46259.741513515</x:v>
      </x:c>
      <x:c r="U16" s="35" t="str">
        <x:f t="shared" si="4"/>
      </x:c>
    </x:row>
    <x:row r="17" ht="46.650001525878906" customHeight="1">
      <x:c r="A17" s="8" t="str">
        <x:f t="shared" si="0"/>
      </x:c>
      <x:c r="B17" s="4" t="inlineStr">
        <x:is>
          <x:t xml:space="preserve">Merchant</x:t>
        </x:is>
      </x:c>
      <x:c r="C17" s="4" t="inlineStr">
        <x:is>
          <x:t xml:space="preserve">استمتع بأجواء رائعة واحصل على خصم 15% في أيرث كافيه</x:t>
        </x:is>
      </x:c>
      <x:c r="D17" s="4" t="inlineStr">
        <x:is>
          <x:t xml:space="preserve">استمتع بأجواء رائعة واحصل على خصم 15% في أيرث كافيه الشروط والأحكام : • استمتع بأجواء رائعة في أيرث كافيه وحصل على خصم 15% عند الدفع باستخدام ب طاقات الكاش باك للإنماء باي • يسري العرض حتى 20-11-2026. • خصم 15% عند الدفع باستخدام بطاقات الكاش باي للإنماء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7 ص الى الساعة 6 م. • العرض لا يشمل تطبيقات التوصيل. • الخصم يشمل الفروع داخل السعودية في الرياض و جدة و الخبر .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x:t>
        </x:is>
      </x:c>
      <x:c r="E17" s="5"/>
      <x:c r="F17" s="5" t="n">
        <x:v>45998.0</x:v>
      </x:c>
      <x:c r="G17" s="5" t="n">
        <x:v>46346.0</x:v>
      </x:c>
      <x:c r="H17" s="7" t="str">
        <x:f t="shared" si="1"/>
      </x:c>
      <x:c r="I17" s="6" t="str">
        <x:f t="shared" si="2"/>
      </x:c>
      <x:c r="J17" s="4"/>
      <x:c r="K17" s="4"/>
      <x:c r="L17" s="4"/>
      <x:c r="M17" s="9" t="str">
        <x:f t="shared" si="3"/>
      </x:c>
      <x:c r="N17" s="4" t="inlineStr">
        <x:is>
          <x:t xml:space="preserve">https://www.alinmapay.com.sa/Offers/Urth-Cafe-dec25</x:t>
        </x:is>
      </x:c>
      <x:c r="O17" s="4"/>
      <x:c r="P17" s="4"/>
      <x:c r="Q17" s="4"/>
      <x:c r="R17" s="4"/>
      <x:c r="S17" s="4"/>
      <x:c r="T17" s="5" t="n">
        <x:v>46259.741513515</x:v>
      </x:c>
      <x:c r="U17" s="35" t="str">
        <x:f t="shared" si="4"/>
      </x:c>
    </x:row>
    <x:row r="18" ht="46.650001525878906" customHeight="1">
      <x:c r="A18" s="8" t="str">
        <x:f t="shared" si="0"/>
      </x:c>
      <x:c r="B18" s="4" t="inlineStr">
        <x:is>
          <x:t xml:space="preserve">Merchant</x:t>
        </x:is>
      </x:c>
      <x:c r="C18" s="4" t="inlineStr">
        <x:is>
          <x:t xml:space="preserve">استمتع بأجواء رائعة واستمتع بخصم 20% في بيف بار</x:t>
        </x:is>
      </x:c>
      <x:c r="D18" s="4" t="inlineStr">
        <x:is>
          <x:t xml:space="preserve">استمتع بأجواء رائعة واستمتع بخصم 20% في بيف بار الشروط والأحكام: • استمتع بأجواء رائعة في بيف بار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x:t>
        </x:is>
      </x:c>
      <x:c r="E18" s="5"/>
      <x:c r="F18" s="5" t="n">
        <x:v>45998.0</x:v>
      </x:c>
      <x:c r="G18" s="5" t="n">
        <x:v>46346.0</x:v>
      </x:c>
      <x:c r="H18" s="7" t="str">
        <x:f t="shared" si="1"/>
      </x:c>
      <x:c r="I18" s="6" t="str">
        <x:f t="shared" si="2"/>
      </x:c>
      <x:c r="J18" s="4"/>
      <x:c r="K18" s="4"/>
      <x:c r="L18" s="4"/>
      <x:c r="M18" s="9" t="str">
        <x:f t="shared" si="3"/>
      </x:c>
      <x:c r="N18" s="4" t="inlineStr">
        <x:is>
          <x:t xml:space="preserve">https://www.alinmapay.com.sa/Offers/Beefbar-dec25</x:t>
        </x:is>
      </x:c>
      <x:c r="O18" s="4"/>
      <x:c r="P18" s="4"/>
      <x:c r="Q18" s="4"/>
      <x:c r="R18" s="4"/>
      <x:c r="S18" s="4"/>
      <x:c r="T18" s="5" t="n">
        <x:v>46259.82478451854</x:v>
      </x:c>
      <x:c r="U18" s="35" t="str">
        <x:f t="shared" si="4"/>
      </x:c>
    </x:row>
    <x:row r="19" ht="46.650001525878906" customHeight="1">
      <x:c r="A19" s="8" t="str">
        <x:f t="shared" si="0"/>
      </x:c>
      <x:c r="B19" s="4" t="inlineStr">
        <x:is>
          <x:t xml:space="preserve">Merchant</x:t>
        </x:is>
      </x:c>
      <x:c r="C19" s="4" t="inlineStr">
        <x:is>
          <x:t xml:space="preserve">استمتع بأجواء رائعة واستمتع بخصم 20% في روباتا</x:t>
        </x:is>
      </x:c>
      <x:c r="D19" s="4" t="inlineStr">
        <x:is>
          <x:t xml:space="preserve">استمتع بأجواء رائعة واستمتع بخصم 20% في روباتا الشروط والأحكام: • استمتع بأجواء رائعة في روباتا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x:t>
        </x:is>
      </x:c>
      <x:c r="E19" s="5"/>
      <x:c r="F19" s="5" t="n">
        <x:v>45998.0</x:v>
      </x:c>
      <x:c r="G19" s="5" t="n">
        <x:v>46346.0</x:v>
      </x:c>
      <x:c r="H19" s="7" t="str">
        <x:f t="shared" si="1"/>
      </x:c>
      <x:c r="I19" s="6" t="str">
        <x:f t="shared" si="2"/>
      </x:c>
      <x:c r="J19" s="4"/>
      <x:c r="K19" s="4"/>
      <x:c r="L19" s="4"/>
      <x:c r="M19" s="9" t="str">
        <x:f t="shared" si="3"/>
      </x:c>
      <x:c r="N19" s="4" t="inlineStr">
        <x:is>
          <x:t xml:space="preserve">https://www.alinmapay.com.sa/Offers/Robata-dec25</x:t>
        </x:is>
      </x:c>
      <x:c r="O19" s="4"/>
      <x:c r="P19" s="4"/>
      <x:c r="Q19" s="4"/>
      <x:c r="R19" s="4"/>
      <x:c r="S19" s="4"/>
      <x:c r="T19" s="5" t="n">
        <x:v>46259.741513515</x:v>
      </x:c>
      <x:c r="U19" s="35" t="str">
        <x:f t="shared" si="4"/>
      </x:c>
    </x:row>
    <x:row r="20" ht="46.650001525878906" customHeight="1">
      <x:c r="A20" s="8" t="str">
        <x:f t="shared" si="0"/>
      </x:c>
      <x:c r="B20" s="4" t="inlineStr">
        <x:is>
          <x:t xml:space="preserve">Merchant</x:t>
        </x:is>
      </x:c>
      <x:c r="C20" s="4" t="inlineStr">
        <x:is>
          <x:t xml:space="preserve">استمتع بأجواء رائعة واستمتع بخصم 20% في كريزي بيتزا</x:t>
        </x:is>
      </x:c>
      <x:c r="D20" s="4" t="inlineStr">
        <x:is>
          <x:t xml:space="preserve">استمتع بأجواء رائعة واستمتع بخصم 20% في كريزي بيتزا الشروط والأحكام: • استمتع بأجواء رائعة في كريزي بيتزا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 الرياض فرع شارع التحلية طوال أيام الأسبوع وطوال اليوم • الرياض فرع عود سكوير من الأحد الى الخميس من 1 م حتى 6 م • الرياض فرع نورث يارد من الأحد الى الخميس من 1 م </x:t>
        </x:is>
      </x:c>
      <x:c r="E20" s="5"/>
      <x:c r="F20" s="5" t="n">
        <x:v>45998.0</x:v>
      </x:c>
      <x:c r="G20" s="5" t="n">
        <x:v>46346.0</x:v>
      </x:c>
      <x:c r="H20" s="7" t="str">
        <x:f t="shared" si="1"/>
      </x:c>
      <x:c r="I20" s="6" t="str">
        <x:f t="shared" si="2"/>
      </x:c>
      <x:c r="J20" s="4"/>
      <x:c r="K20" s="4"/>
      <x:c r="L20" s="4"/>
      <x:c r="M20" s="9" t="str">
        <x:f t="shared" si="3"/>
      </x:c>
      <x:c r="N20" s="4" t="inlineStr">
        <x:is>
          <x:t xml:space="preserve">https://www.alinmapay.com.sa/Offers/Crazy-Pizza-dec25</x:t>
        </x:is>
      </x:c>
      <x:c r="O20" s="4"/>
      <x:c r="P20" s="4"/>
      <x:c r="Q20" s="4"/>
      <x:c r="R20" s="4"/>
      <x:c r="S20" s="4"/>
      <x:c r="T20" s="5" t="n">
        <x:v>46259.741513515</x:v>
      </x:c>
      <x:c r="U20" s="35" t="str">
        <x:f t="shared" si="4"/>
      </x:c>
    </x:row>
    <x:row r="21" ht="46.650001525878906" customHeight="1">
      <x:c r="A21" s="8" t="str">
        <x:f t="shared" si="0"/>
      </x:c>
      <x:c r="B21" s="4" t="inlineStr">
        <x:is>
          <x:t xml:space="preserve">Merchant</x:t>
        </x:is>
      </x:c>
      <x:c r="C21" s="4" t="inlineStr">
        <x:is>
          <x:t xml:space="preserve">استمتع بأجواء رائعة واستمتع بخصم 20% في كويا</x:t>
        </x:is>
      </x:c>
      <x:c r="D21" s="4" t="inlineStr">
        <x:is>
          <x:t xml:space="preserve">استمتع بأجواء رائعة واستمتع بخصم 20% في كويا الشروط والأحكام: • استمتع بأجواء رائعة في كويا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التأسي</x:t>
        </x:is>
      </x:c>
      <x:c r="E21" s="5"/>
      <x:c r="F21" s="5" t="n">
        <x:v>45998.0</x:v>
      </x:c>
      <x:c r="G21" s="5" t="n">
        <x:v>46346.0</x:v>
      </x:c>
      <x:c r="H21" s="7" t="str">
        <x:f t="shared" si="1"/>
      </x:c>
      <x:c r="I21" s="6" t="str">
        <x:f t="shared" si="2"/>
      </x:c>
      <x:c r="J21" s="4"/>
      <x:c r="K21" s="4"/>
      <x:c r="L21" s="4"/>
      <x:c r="M21" s="9" t="str">
        <x:f t="shared" si="3"/>
      </x:c>
      <x:c r="N21" s="4" t="inlineStr">
        <x:is>
          <x:t xml:space="preserve">https://www.alinmapay.com.sa/Offers/Coya-dec25</x:t>
        </x:is>
      </x:c>
      <x:c r="O21" s="4"/>
      <x:c r="P21" s="4"/>
      <x:c r="Q21" s="4"/>
      <x:c r="R21" s="4"/>
      <x:c r="S21" s="4"/>
      <x:c r="T21" s="5" t="n">
        <x:v>46259.741513515</x:v>
      </x:c>
      <x:c r="U21" s="35" t="str">
        <x:f t="shared" si="4"/>
      </x:c>
    </x:row>
    <x:row r="22" ht="46.650001525878906" customHeight="1">
      <x:c r="A22" s="8" t="str">
        <x:f t="shared" si="0"/>
      </x:c>
      <x:c r="B22" s="4" t="inlineStr">
        <x:is>
          <x:t xml:space="preserve">Merchant</x:t>
        </x:is>
      </x:c>
      <x:c r="C22" s="4" t="inlineStr">
        <x:is>
          <x:t xml:space="preserve">استمتع بأجواء واستمتع بخصم 20% رائعة في سان كارلو شيكيتي</x:t>
        </x:is>
      </x:c>
      <x:c r="D22" s="4" t="inlineStr">
        <x:is>
          <x:t xml:space="preserve">استمتع بأجواء واستمتع بخصم 20% رائعة في سان كارلو شيكيتي الشروط والأحكام: • استمتع بأجواء رائعة في سان كارلو شيكيتي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 الخصم يشمل الفروع داخل السعودية في الرياض وجده والخبر • لا يطبق العرض مع اي عروض اخرى ولا يمكن الجمع بين اكثر من عرض في نفس الوقت. • لا يسري العرض مع ايام المناسبات والاعياد والاجازات ا</x:t>
        </x:is>
      </x:c>
      <x:c r="E22" s="5"/>
      <x:c r="F22" s="5" t="n">
        <x:v>45998.0</x:v>
      </x:c>
      <x:c r="G22" s="5" t="n">
        <x:v>46346.0</x:v>
      </x:c>
      <x:c r="H22" s="7" t="str">
        <x:f t="shared" si="1"/>
      </x:c>
      <x:c r="I22" s="6" t="str">
        <x:f t="shared" si="2"/>
      </x:c>
      <x:c r="J22" s="4"/>
      <x:c r="K22" s="4"/>
      <x:c r="L22" s="4"/>
      <x:c r="M22" s="9" t="str">
        <x:f t="shared" si="3"/>
      </x:c>
      <x:c r="N22" s="4" t="inlineStr">
        <x:is>
          <x:t xml:space="preserve">https://www.alinmapay.com.sa/Offers/San-Carlo-Cicchetti-dec25</x:t>
        </x:is>
      </x:c>
      <x:c r="O22" s="4"/>
      <x:c r="P22" s="4"/>
      <x:c r="Q22" s="4"/>
      <x:c r="R22" s="4"/>
      <x:c r="S22" s="4"/>
      <x:c r="T22" s="5" t="n">
        <x:v>46259.741513515</x:v>
      </x:c>
      <x:c r="U22" s="35" t="str">
        <x:f t="shared" si="4"/>
      </x:c>
    </x:row>
    <x:row r="23" ht="46.650001525878906" customHeight="1">
      <x:c r="A23" s="8" t="str">
        <x:f t="shared" si="0"/>
      </x:c>
      <x:c r="B23" s="4" t="inlineStr">
        <x:is>
          <x:t xml:space="preserve">Merchant</x:t>
        </x:is>
      </x:c>
      <x:c r="C23" s="4" t="inlineStr">
        <x:is>
          <x:t xml:space="preserve">استمتع بأجواء واستمتع بخصم 20% رائعة في سينيور ساسي</x:t>
        </x:is>
      </x:c>
      <x:c r="D23" s="4" t="inlineStr">
        <x:is>
          <x:t xml:space="preserve">استمتع بأجواء واستمتع بخصم 20% رائعة في سينيور ساسي الشروط والأحكام: • استمتع بأجواء رائعة في سينيور ساسي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x:t>
        </x:is>
      </x:c>
      <x:c r="E23" s="5"/>
      <x:c r="F23" s="5" t="n">
        <x:v>45998.0</x:v>
      </x:c>
      <x:c r="G23" s="5" t="n">
        <x:v>46346.0</x:v>
      </x:c>
      <x:c r="H23" s="7" t="str">
        <x:f t="shared" si="1"/>
      </x:c>
      <x:c r="I23" s="6" t="str">
        <x:f t="shared" si="2"/>
      </x:c>
      <x:c r="J23" s="4"/>
      <x:c r="K23" s="4"/>
      <x:c r="L23" s="4"/>
      <x:c r="M23" s="9" t="str">
        <x:f t="shared" si="3"/>
      </x:c>
      <x:c r="N23" s="4" t="inlineStr">
        <x:is>
          <x:t xml:space="preserve">https://www.alinmapay.com.sa/Offers/Signor-Sassi-dec25</x:t>
        </x:is>
      </x:c>
      <x:c r="O23" s="4"/>
      <x:c r="P23" s="4"/>
      <x:c r="Q23" s="4"/>
      <x:c r="R23" s="4"/>
      <x:c r="S23" s="4"/>
      <x:c r="T23" s="5" t="n">
        <x:v>46259.741513515</x:v>
      </x:c>
      <x:c r="U23" s="35" t="str">
        <x:f t="shared" si="4"/>
      </x:c>
    </x:row>
    <x:row r="24" ht="46.650001525878906" customHeight="1">
      <x:c r="A24" s="8" t="str">
        <x:f t="shared" si="0"/>
      </x:c>
      <x:c r="B24" s="4" t="inlineStr">
        <x:is>
          <x:t xml:space="preserve">Merchant</x:t>
        </x:is>
      </x:c>
      <x:c r="C24" s="4" t="inlineStr">
        <x:is>
          <x:t xml:space="preserve">استمتع بأجواء واستمتع بخصم 20% رائعة في كايزو</x:t>
        </x:is>
      </x:c>
      <x:c r="D24" s="4" t="inlineStr">
        <x:is>
          <x:t xml:space="preserve">استمتع بأجواء واستمتع بخصم 20% رائعة في كايزو الشروط والأحكام: • استمتع بأجواء رائعة في كايزو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4" s="5"/>
      <x:c r="F24" s="5" t="n">
        <x:v>45998.0</x:v>
      </x:c>
      <x:c r="G24" s="5" t="n">
        <x:v>46346.0</x:v>
      </x:c>
      <x:c r="H24" s="7" t="str">
        <x:f t="shared" si="1"/>
      </x:c>
      <x:c r="I24" s="6" t="str">
        <x:f t="shared" si="2"/>
      </x:c>
      <x:c r="J24" s="4"/>
      <x:c r="K24" s="4"/>
      <x:c r="L24" s="4"/>
      <x:c r="M24" s="9" t="str">
        <x:f t="shared" si="3"/>
      </x:c>
      <x:c r="N24" s="4" t="inlineStr">
        <x:is>
          <x:t xml:space="preserve">https://www.alinmapay.com.sa/Offers/Kayzo-dec25</x:t>
        </x:is>
      </x:c>
      <x:c r="O24" s="4"/>
      <x:c r="P24" s="4"/>
      <x:c r="Q24" s="4"/>
      <x:c r="R24" s="4"/>
      <x:c r="S24" s="4"/>
      <x:c r="T24" s="5" t="n">
        <x:v>46259.741513515</x:v>
      </x:c>
      <x:c r="U24" s="35" t="str">
        <x:f t="shared" si="4"/>
      </x:c>
    </x:row>
    <x:row r="25" ht="46.650001525878906" customHeight="1">
      <x:c r="A25" s="8" t="str">
        <x:f t="shared" si="0"/>
      </x:c>
      <x:c r="B25" s="4" t="inlineStr">
        <x:is>
          <x:t xml:space="preserve">Merchant</x:t>
        </x:is>
      </x:c>
      <x:c r="C25" s="4" t="inlineStr">
        <x:is>
          <x:t xml:space="preserve">استمتع بأجواء واستمتع بخصم 20% رائعة في ميازو</x:t>
        </x:is>
      </x:c>
      <x:c r="D25" s="4" t="inlineStr">
        <x:is>
          <x:t xml:space="preserve">استمتع بأجواء واستمتع بخصم 20% رائعة في ميازو الشروط والأحكام: • استمتع بأجواء رائعة في ميازو واستمتع بخصم 20% عند الدفع باستخدام بطاقات الكاش باك من الإنماء باي • يسري العرض من 7 ديسمبر 2025 و حتى 20 نوفمبر 2026. • خصم 20%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 ( Set Menu) • يسري العرض من الاحد الى الخميس من الساعة 1 م الى الساعة 6 م. • العرض لا يشمل تطبيقات التوصيل. • الخصم يشمل الفروع داخل السعودية في الرياض • لا يطبق العرض مع اي عروض اخرى ولا يمكن الجمع بين اكثر من عرض في نفس الوقت. • لا يسري العرض مع ايام المناسبات والاعياد والاجازات الرسمية مثال (اليوم الوطني – يوم التأ</x:t>
        </x:is>
      </x:c>
      <x:c r="E25" s="5"/>
      <x:c r="F25" s="5" t="n">
        <x:v>45998.0</x:v>
      </x:c>
      <x:c r="G25" s="5" t="n">
        <x:v>46346.0</x:v>
      </x:c>
      <x:c r="H25" s="7" t="str">
        <x:f t="shared" si="1"/>
      </x:c>
      <x:c r="I25" s="6" t="str">
        <x:f t="shared" si="2"/>
      </x:c>
      <x:c r="J25" s="4"/>
      <x:c r="K25" s="4"/>
      <x:c r="L25" s="4"/>
      <x:c r="M25" s="9" t="str">
        <x:f t="shared" si="3"/>
      </x:c>
      <x:c r="N25" s="4" t="inlineStr">
        <x:is>
          <x:t xml:space="preserve">https://www.alinmapay.com.sa/Offers/MYAZU-dec25</x:t>
        </x:is>
      </x:c>
      <x:c r="O25" s="4"/>
      <x:c r="P25" s="4"/>
      <x:c r="Q25" s="4"/>
      <x:c r="R25" s="4"/>
      <x:c r="S25" s="4"/>
      <x:c r="T25" s="5" t="n">
        <x:v>46259.741513515</x:v>
      </x:c>
      <x:c r="U25" s="35" t="str">
        <x:f t="shared" si="4"/>
      </x:c>
    </x:row>
    <x:row r="26" ht="46.650001525878906" customHeight="1">
      <x:c r="A26" s="8" t="str">
        <x:f t="shared" si="0"/>
      </x:c>
      <x:c r="B26" s="4" t="inlineStr">
        <x:is>
          <x:t xml:space="preserve">Merchant</x:t>
        </x:is>
      </x:c>
      <x:c r="C26" s="4" t="inlineStr">
        <x:is>
          <x:t xml:space="preserve">استمتع بخصم 15% لدى المهيدب ريزدنس</x:t>
        </x:is>
      </x:c>
      <x:c r="D26" s="4" t="inlineStr">
        <x:is>
          <x:t xml:space="preserve">• استمتع بخصم 15 % لدى المهيدب ريزدنس عند الدفع بأي من بطاقات الإنماء باي فيزا أو مدى. • يسري العرض من تاريخ 5 فبراير حتى 30 يناير 2027.</x:t>
        </x:is>
      </x:c>
      <x:c r="E26" s="5"/>
      <x:c r="F26" s="5" t="n">
        <x:v>46423.0</x:v>
      </x:c>
      <x:c r="G26" s="5" t="n">
        <x:v>46417.0</x:v>
      </x:c>
      <x:c r="H26" s="7" t="str">
        <x:f t="shared" si="1"/>
      </x:c>
      <x:c r="I26" s="6" t="str">
        <x:f t="shared" si="2"/>
      </x:c>
      <x:c r="J26" s="4"/>
      <x:c r="K26" s="4"/>
      <x:c r="L26" s="4"/>
      <x:c r="M26" s="9" t="str">
        <x:f t="shared" si="3"/>
      </x:c>
      <x:c r="N26" s="4" t="inlineStr">
        <x:is>
          <x:t xml:space="preserve">https://www.alinmapay.com.sa/Offers/Al-Muhaidb-Offer---Feb-2026</x:t>
        </x:is>
      </x:c>
      <x:c r="O26" s="4"/>
      <x:c r="P26" s="4"/>
      <x:c r="Q26" s="4"/>
      <x:c r="R26" s="4"/>
      <x:c r="S26" s="4"/>
      <x:c r="T26" s="5" t="n">
        <x:v>46259.82478451854</x:v>
      </x:c>
      <x:c r="U26" s="35" t="str">
        <x:f t="shared" si="4"/>
      </x:c>
    </x:row>
    <x:row r="27" ht="46.650001525878906" customHeight="1">
      <x:c r="A27" s="8" t="str">
        <x:f t="shared" si="0"/>
      </x:c>
      <x:c r="B27" s="4" t="inlineStr">
        <x:is>
          <x:t xml:space="preserve">Merchant</x:t>
        </x:is>
      </x:c>
      <x:c r="C27" s="4" t="inlineStr">
        <x:is>
          <x:t xml:space="preserve">استمتع بخصم 15% لدى فنادق إيواء</x:t>
        </x:is>
      </x:c>
      <x:c r="D27" s="4" t="inlineStr">
        <x:is>
          <x:t xml:space="preserve">• استمتع بخصم 15 % لدى المهيدب ريزدنس عند الدفع بأي من بطاقات الإنماء باي فيزا أو مدى. • يسري العرض من تاريخ 5 فبراير حتى 30 يناير 2027.</x:t>
        </x:is>
      </x:c>
      <x:c r="E27" s="5"/>
      <x:c r="F27" s="5" t="n">
        <x:v>46423.0</x:v>
      </x:c>
      <x:c r="G27" s="5" t="n">
        <x:v>46417.0</x:v>
      </x:c>
      <x:c r="H27" s="7" t="str">
        <x:f t="shared" si="1"/>
      </x:c>
      <x:c r="I27" s="6" t="str">
        <x:f t="shared" si="2"/>
      </x:c>
      <x:c r="J27" s="4"/>
      <x:c r="K27" s="4"/>
      <x:c r="L27" s="4"/>
      <x:c r="M27" s="9" t="str">
        <x:f t="shared" si="3"/>
      </x:c>
      <x:c r="N27" s="4" t="inlineStr">
        <x:is>
          <x:t xml:space="preserve">https://www.alinmapay.com.sa/Offers/EWAA-Hotels-Offer---Feb-2026</x:t>
        </x:is>
      </x:c>
      <x:c r="O27" s="4"/>
      <x:c r="P27" s="4"/>
      <x:c r="Q27" s="4"/>
      <x:c r="R27" s="4"/>
      <x:c r="S27" s="4"/>
      <x:c r="T27" s="5" t="n">
        <x:v>46259.741513515</x:v>
      </x:c>
      <x:c r="U27" s="35" t="str">
        <x:f t="shared" si="4"/>
      </x:c>
    </x:row>
    <x:row r="28" ht="46.650001525878906" customHeight="1">
      <x:c r="A28" s="8" t="str">
        <x:f t="shared" si="0"/>
      </x:c>
      <x:c r="B28" s="4" t="inlineStr">
        <x:is>
          <x:t xml:space="preserve">Merchant</x:t>
        </x:is>
      </x:c>
      <x:c r="C28" s="4" t="inlineStr">
        <x:is>
          <x:t xml:space="preserve">استمتع بخصم 15% لدى فنادق جراند بلازا</x:t>
        </x:is>
      </x:c>
      <x:c r="D28" s="4" t="inlineStr">
        <x:is>
          <x:t xml:space="preserve">• استمتع بخصم 15 % لدى فنادق جراند بلازا عند الدفع بأي من بطاقات الإنماء باي فيزا أو مدى. • يسري العرض من تاريخ 5 فبراير حتى 30 يناير 2027.</x:t>
        </x:is>
      </x:c>
      <x:c r="E28" s="5"/>
      <x:c r="F28" s="5" t="n">
        <x:v>46423.0</x:v>
      </x:c>
      <x:c r="G28" s="5" t="n">
        <x:v>46417.0</x:v>
      </x:c>
      <x:c r="H28" s="7" t="str">
        <x:f t="shared" si="1"/>
      </x:c>
      <x:c r="I28" s="6" t="str">
        <x:f t="shared" si="2"/>
      </x:c>
      <x:c r="J28" s="4"/>
      <x:c r="K28" s="4"/>
      <x:c r="L28" s="4"/>
      <x:c r="M28" s="9" t="str">
        <x:f t="shared" si="3"/>
      </x:c>
      <x:c r="N28" s="4" t="inlineStr">
        <x:is>
          <x:t xml:space="preserve">https://www.alinmapay.com.sa/Offers/Grand-Plaza-Hotels---Feb-2026</x:t>
        </x:is>
      </x:c>
      <x:c r="O28" s="4"/>
      <x:c r="P28" s="4"/>
      <x:c r="Q28" s="4"/>
      <x:c r="R28" s="4"/>
      <x:c r="S28" s="4"/>
      <x:c r="T28" s="5" t="n">
        <x:v>46259.82478451854</x:v>
      </x:c>
      <x:c r="U28" s="35" t="str">
        <x:f t="shared" si="4"/>
      </x:c>
    </x:row>
    <x:row r="29" ht="46.650001525878906" customHeight="1">
      <x:c r="A29" s="8" t="str">
        <x:f t="shared" si="0"/>
      </x:c>
      <x:c r="B29" s="4" t="inlineStr">
        <x:is>
          <x:t xml:space="preserve">Merchant</x:t>
        </x:is>
      </x:c>
      <x:c r="C29" s="4" t="inlineStr">
        <x:is>
          <x:t xml:space="preserve">استمتع بخصم 30% لدى ستايلي</x:t>
        </x:is>
      </x:c>
      <x:c r="D29" s="4" t="inlineStr">
        <x:is>
          <x:t xml:space="preserve">• استمتع بخصم 30% لدى ستايلي عند الدفع بأي من بطاقات الإنماء باي فيزا. • يسري العرض من تاريخ 5 فبراير حتى 30 ديسمبر 2026.</x:t>
        </x:is>
      </x:c>
      <x:c r="E29" s="5"/>
      <x:c r="F29" s="5" t="n">
        <x:v>46058.0</x:v>
      </x:c>
      <x:c r="G29" s="5" t="n">
        <x:v>46386.0</x:v>
      </x:c>
      <x:c r="H29" s="7" t="str">
        <x:f t="shared" si="1"/>
      </x:c>
      <x:c r="I29" s="6" t="str">
        <x:f t="shared" si="2"/>
      </x:c>
      <x:c r="J29" s="4"/>
      <x:c r="K29" s="4"/>
      <x:c r="L29" s="4"/>
      <x:c r="M29" s="9" t="str">
        <x:f t="shared" si="3"/>
      </x:c>
      <x:c r="N29" s="4" t="inlineStr">
        <x:is>
          <x:t xml:space="preserve">https://www.alinmapay.com.sa/Offers/Stily-Offer---Feb-2026</x:t>
        </x:is>
      </x:c>
      <x:c r="O29" s="4"/>
      <x:c r="P29" s="4"/>
      <x:c r="Q29" s="4"/>
      <x:c r="R29" s="4"/>
      <x:c r="S29" s="4"/>
      <x:c r="T29" s="5" t="n">
        <x:v>46259.82478451854</x:v>
      </x:c>
      <x:c r="U29" s="35" t="str">
        <x:f t="shared" si="4"/>
      </x:c>
    </x:row>
    <x:row r="30" ht="46.650001525878906" customHeight="1">
      <x:c r="A30" s="8" t="str">
        <x:f t="shared" si="0"/>
      </x:c>
      <x:c r="B30" s="4" t="inlineStr">
        <x:is>
          <x:t xml:space="preserve">Merchant</x:t>
        </x:is>
      </x:c>
      <x:c r="C30" s="4" t="inlineStr">
        <x:is>
          <x:t xml:space="preserve">تسوّق من FARFETCH</x:t>
        </x:is>
      </x:c>
      <x:c r="D30" s="4" t="inlineStr">
        <x:is>
          <x:t xml:space="preserve">استمتع بخصم يصل حتى 500 ريال لدى FARFETCH عند الدفع باستخدام أي من بطاقات الإنماء باي فيزا. يسري العرض من 15 يناير وحتى 31 ديسمبر 2026 .</x:t>
        </x:is>
      </x:c>
      <x:c r="E30" s="5"/>
      <x:c r="F30" s="5" t="n">
        <x:v>46037.0</x:v>
      </x:c>
      <x:c r="G30" s="5" t="n">
        <x:v>46387.0</x:v>
      </x:c>
      <x:c r="H30" s="7" t="str">
        <x:f t="shared" si="1"/>
      </x:c>
      <x:c r="I30" s="6" t="str">
        <x:f t="shared" si="2"/>
      </x:c>
      <x:c r="J30" s="4"/>
      <x:c r="K30" s="4"/>
      <x:c r="L30" s="4"/>
      <x:c r="M30" s="9" t="str">
        <x:f t="shared" si="3"/>
      </x:c>
      <x:c r="N30" s="4" t="inlineStr">
        <x:is>
          <x:t xml:space="preserve">https://www.alinmapay.com.sa/Offers/Shop-on-FARFETCH---Jan-2026</x:t>
        </x:is>
      </x:c>
      <x:c r="O30" s="4"/>
      <x:c r="P30" s="4"/>
      <x:c r="Q30" s="4"/>
      <x:c r="R30" s="4"/>
      <x:c r="S30" s="4"/>
      <x:c r="T30" s="5" t="n">
        <x:v>46259.82478451854</x:v>
      </x:c>
      <x:c r="U30" s="35" t="str">
        <x:f t="shared" si="4"/>
      </x:c>
    </x:row>
    <x:row r="31" ht="46.650001525878906" customHeight="1">
      <x:c r="A31" s="8" t="str">
        <x:f t="shared" si="0"/>
      </x:c>
      <x:c r="B31" s="4" t="inlineStr">
        <x:is>
          <x:t xml:space="preserve">Merchant</x:t>
        </x:is>
      </x:c>
      <x:c r="C31" s="4" t="inlineStr">
        <x:is>
          <x:t xml:space="preserve">خصم 20% لدى سيار</x:t>
        </x:is>
      </x:c>
      <x:c r="D31" s="4" t="inlineStr">
        <x:is>
          <x:t xml:space="preserve">استمتع بخصم 20% لدى سيار (Sayyar) عند الدفع باستخدام بطاقات الإنماء باي . يسري العرض من 1 يناير 2026 حتى 31 ديسمبر 2026 .</x:t>
        </x:is>
      </x:c>
      <x:c r="E31" s="5"/>
      <x:c r="F31" s="5" t="n">
        <x:v>46023.0</x:v>
      </x:c>
      <x:c r="G31" s="5" t="n">
        <x:v>46387.0</x:v>
      </x:c>
      <x:c r="H31" s="7" t="str">
        <x:f t="shared" si="1"/>
      </x:c>
      <x:c r="I31" s="6" t="str">
        <x:f t="shared" si="2"/>
      </x:c>
      <x:c r="J31" s="4"/>
      <x:c r="K31" s="4"/>
      <x:c r="L31" s="4"/>
      <x:c r="M31" s="9" t="str">
        <x:f t="shared" si="3"/>
      </x:c>
      <x:c r="N31" s="4" t="inlineStr">
        <x:is>
          <x:t xml:space="preserve">https://www.alinmapay.com.sa/Offers/Sayyar---April2026</x:t>
        </x:is>
      </x:c>
      <x:c r="O31" s="4"/>
      <x:c r="P31" s="4"/>
      <x:c r="Q31" s="4"/>
      <x:c r="R31" s="4"/>
      <x:c r="S31" s="4"/>
      <x:c r="T31" s="5" t="n">
        <x:v>46259.741513515</x:v>
      </x:c>
      <x:c r="U31" s="35" t="str">
        <x:f t="shared" si="4"/>
      </x:c>
    </x:row>
    <x:row r="32" ht="46.650001525878906" customHeight="1">
      <x:c r="A32" s="8" t="str">
        <x:f t="shared" si="0"/>
      </x:c>
      <x:c r="B32" s="4" t="inlineStr">
        <x:is>
          <x:t xml:space="preserve">Merchant</x:t>
        </x:is>
      </x:c>
      <x:c r="C32" s="4" t="inlineStr">
        <x:is>
          <x:t xml:space="preserve">عرض آيهيرب 40%</x:t>
        </x:is>
      </x:c>
      <x:c r="D32" s="4" t="inlineStr">
        <x:is>
          <x:t xml:space="preserve">استمتع بخصم 40% على مشترياتك من آيهيرب عند الدفع ببطاقات الإنماء باي فيزا . يسري العرض من 21 أغسطس 2026 حتى 4 سبتمبر 2026 .</x:t>
        </x:is>
      </x:c>
      <x:c r="E32" s="5"/>
      <x:c r="F32" s="5" t="n">
        <x:v>46255.0</x:v>
      </x:c>
      <x:c r="G32" s="5" t="n">
        <x:v>46269.0</x:v>
      </x:c>
      <x:c r="H32" s="7" t="str">
        <x:f t="shared" si="1"/>
      </x:c>
      <x:c r="I32" s="6" t="str">
        <x:f t="shared" si="2"/>
      </x:c>
      <x:c r="J32" s="4"/>
      <x:c r="K32" s="4"/>
      <x:c r="L32" s="4"/>
      <x:c r="M32" s="9" t="str">
        <x:f t="shared" si="3"/>
      </x:c>
      <x:c r="N32" s="4" t="inlineStr">
        <x:is>
          <x:t xml:space="preserve">https://www.alinmapay.com.sa/Offers/iHerb_Aug_2026</x:t>
        </x:is>
      </x:c>
      <x:c r="O32" s="4"/>
      <x:c r="P32" s="4"/>
      <x:c r="Q32" s="4"/>
      <x:c r="R32" s="4"/>
      <x:c r="S32" s="4"/>
      <x:c r="T32" s="5" t="n">
        <x:v>46259.82478451854</x:v>
      </x:c>
      <x:c r="U32" s="35" t="str">
        <x:f t="shared" si="4"/>
      </x:c>
    </x:row>
    <x:row r="33" ht="46.650001525878906" customHeight="1">
      <x:c r="A33" s="8" t="str">
        <x:f t="shared" si="0"/>
      </x:c>
      <x:c r="B33" s="4" t="inlineStr">
        <x:is>
          <x:t xml:space="preserve">Remittance</x:t>
        </x:is>
      </x:c>
      <x:c r="C33" s="4" t="inlineStr">
        <x:is>
          <x:t xml:space="preserve">عرض اليمن: كاش باك 5 ريال</x:t>
        </x:is>
      </x:c>
      <x:c r="D33" s="4" t="inlineStr">
        <x:is>
          <x:t xml:space="preserve">حوّل إلى اليمن عبر خدمة مباشر الإنماء باي واستمتع بكاش باك 5 ريال بعد إتمام 3 عمليات تحويل. استمتع بكاش باك 5 ريال بعد إتمام 3 عمليات تحويل إلى اليمن عبر خدمة مباشر الإنماء باي.</x:t>
        </x:is>
      </x:c>
      <x:c r="E33" s="5"/>
      <x:c r="F33" s="5" t="n">
        <x:v>46230.0</x:v>
      </x:c>
      <x:c r="G33" s="5" t="n">
        <x:v>46261.0</x:v>
      </x:c>
      <x:c r="H33" s="7" t="str">
        <x:f t="shared" si="1"/>
      </x:c>
      <x:c r="I33" s="6" t="str">
        <x:f t="shared" si="2"/>
      </x:c>
      <x:c r="J33" s="4"/>
      <x:c r="K33" s="4"/>
      <x:c r="L33" s="4"/>
      <x:c r="M33" s="9" t="str">
        <x:f t="shared" si="3"/>
      </x:c>
      <x:c r="N33" s="4" t="inlineStr">
        <x:is>
          <x:t xml:space="preserve">https://www.alinmapay.com.sa/Offers/Yemen-Cashback-5SAR</x:t>
        </x:is>
      </x:c>
      <x:c r="O33" s="4"/>
      <x:c r="P33" s="4"/>
      <x:c r="Q33" s="4"/>
      <x:c r="R33" s="4"/>
      <x:c r="S33" s="4"/>
      <x:c r="T33" s="5" t="n">
        <x:v>46259.82478451854</x:v>
      </x:c>
      <x:c r="U33" s="35" t="str">
        <x:f t="shared" si="4"/>
      </x:c>
    </x:row>
    <x:row r="34" ht="46.650001525878906" customHeight="1">
      <x:c r="A34" s="8" t="str">
        <x:f t="shared" si="0"/>
      </x:c>
      <x:c r="B34" s="4" t="inlineStr">
        <x:is>
          <x:t xml:space="preserve">Remittance</x:t>
        </x:is>
      </x:c>
      <x:c r="C34" s="4" t="inlineStr">
        <x:is>
          <x:t xml:space="preserve">عرض رسوم تحويل اليمن 3 ريال</x:t>
        </x:is>
      </x:c>
      <x:c r="D34" s="4" t="inlineStr">
        <x:is>
          <x:t xml:space="preserve">استمتع بتحويلاتك إلى اليمن برسوم ثابتة 3 ريال فقط عبر خدمة alinmapay Direct ، بدون حد أدنى للتحويل. رسوم تحويل ثابتة بقيمة 3 ريال على التحويلات إلى 🇾🇪 اليمن .</x:t>
        </x:is>
      </x:c>
      <x:c r="E34" s="5"/>
      <x:c r="F34" s="5" t="n">
        <x:v>46181.0</x:v>
      </x:c>
      <x:c r="G34" s="5" t="n">
        <x:v>46387.0</x:v>
      </x:c>
      <x:c r="H34" s="7" t="str">
        <x:f t="shared" si="1"/>
      </x:c>
      <x:c r="I34" s="6" t="str">
        <x:f t="shared" si="2"/>
      </x:c>
      <x:c r="J34" s="4"/>
      <x:c r="K34" s="4"/>
      <x:c r="L34" s="4"/>
      <x:c r="M34" s="9" t="str">
        <x:f t="shared" si="3"/>
      </x:c>
      <x:c r="N34" s="4" t="inlineStr">
        <x:is>
          <x:t xml:space="preserve">https://www.alinmapay.com.sa/Offers/SAR-3-Transfer-Fee-Yemen-Offer-June26</x:t>
        </x:is>
      </x:c>
      <x:c r="O34" s="4"/>
      <x:c r="P34" s="4"/>
      <x:c r="Q34" s="4"/>
      <x:c r="R34" s="4"/>
      <x:c r="S34" s="4"/>
      <x:c r="T34" s="5" t="n">
        <x:v>46259.82478451854</x:v>
      </x:c>
      <x:c r="U34" s="35" t="str">
        <x:f t="shared" si="4"/>
      </x:c>
    </x:row>
    <x:row r="35" ht="46.650001525878906" customHeight="1">
      <x:c r="A35" s="8" t="str">
        <x:f t="shared" si="0"/>
      </x:c>
      <x:c r="B35" s="4" t="inlineStr">
        <x:is>
          <x:t xml:space="preserve">Merchant</x:t>
        </x:is>
      </x:c>
      <x:c r="C35" s="4" t="inlineStr">
        <x:is>
          <x:t xml:space="preserve">عرض شي إن 20%</x:t>
        </x:is>
      </x:c>
      <x:c r="D35" s="4" t="inlineStr">
        <x:is>
          <x:t xml:space="preserve">استمتع بخصم 20% على مشترياتك من شي إن عند الدفع ببطاقات الإنماء باي فيزا . يسري العرض من 21 أغسطس 2026 حتى 4 سبتمبر 2026 .</x:t>
        </x:is>
      </x:c>
      <x:c r="E35" s="5"/>
      <x:c r="F35" s="5" t="n">
        <x:v>46255.0</x:v>
      </x:c>
      <x:c r="G35" s="5" t="n">
        <x:v>46269.0</x:v>
      </x:c>
      <x:c r="H35" s="7" t="str">
        <x:f t="shared" si="1"/>
      </x:c>
      <x:c r="I35" s="6" t="str">
        <x:f t="shared" si="2"/>
      </x:c>
      <x:c r="J35" s="4"/>
      <x:c r="K35" s="4"/>
      <x:c r="L35" s="4"/>
      <x:c r="M35" s="9" t="str">
        <x:f t="shared" si="3"/>
      </x:c>
      <x:c r="N35" s="4" t="inlineStr">
        <x:is>
          <x:t xml:space="preserve">https://www.alinmapay.com.sa/Offers/SHEIN_Aug_2026</x:t>
        </x:is>
      </x:c>
      <x:c r="O35" s="4"/>
      <x:c r="P35" s="4"/>
      <x:c r="Q35" s="4"/>
      <x:c r="R35" s="4"/>
      <x:c r="S35" s="4"/>
      <x:c r="T35" s="5" t="n">
        <x:v>46259.82478451854</x:v>
      </x:c>
      <x:c r="U35" s="35" t="str">
        <x:f t="shared" si="4"/>
      </x:c>
    </x:row>
    <x:row r="36" ht="46.650001525878906" customHeight="1">
      <x:c r="A36" s="8" t="str">
        <x:f t="shared" si="0"/>
      </x:c>
      <x:c r="B36" s="4" t="inlineStr">
        <x:is>
          <x:t xml:space="preserve">Merchant</x:t>
        </x:is>
      </x:c>
      <x:c r="C36" s="4" t="inlineStr">
        <x:is>
          <x:t xml:space="preserve">عين لندن: خصم 15%</x:t>
        </x:is>
      </x:c>
      <x:c r="D36" s="4" t="inlineStr">
        <x:is>
          <x:t xml:space="preserve">استمتع بخصم 15% لدى عين لندن على التذاكر العادية عند الدفع بأي من بطاقات الإنماء باي فيزا . يسري العرض من 19 أغسطس حتى 30 سبتمبر 2026 .</x:t>
        </x:is>
      </x:c>
      <x:c r="E36" s="5"/>
      <x:c r="F36" s="5" t="n">
        <x:v>46253.0</x:v>
      </x:c>
      <x:c r="G36" s="5" t="n">
        <x:v>46295.0</x:v>
      </x:c>
      <x:c r="H36" s="7" t="str">
        <x:f t="shared" si="1"/>
      </x:c>
      <x:c r="I36" s="6" t="str">
        <x:f t="shared" si="2"/>
      </x:c>
      <x:c r="J36" s="4"/>
      <x:c r="K36" s="4"/>
      <x:c r="L36" s="4"/>
      <x:c r="M36" s="9" t="str">
        <x:f t="shared" si="3"/>
      </x:c>
      <x:c r="N36" s="4" t="inlineStr">
        <x:is>
          <x:t xml:space="preserve">https://www.alinmapay.com.sa/Offers/LendonEye_2026</x:t>
        </x:is>
      </x:c>
      <x:c r="O36" s="4"/>
      <x:c r="P36" s="4"/>
      <x:c r="Q36" s="4"/>
      <x:c r="R36" s="4"/>
      <x:c r="S36" s="4"/>
      <x:c r="T36" s="5" t="n">
        <x:v>46259.82478451854</x:v>
      </x:c>
      <x:c r="U36" s="35" t="str">
        <x:f t="shared" si="4"/>
      </x:c>
    </x:row>
    <x:row r="37" ht="46.650001525878906" customHeight="1">
      <x:c r="A37" s="8" t="str">
        <x:f t="shared" si="0"/>
      </x:c>
      <x:c r="B37" s="4" t="inlineStr">
        <x:is>
          <x:t xml:space="preserve">Merchant</x:t>
        </x:is>
      </x:c>
      <x:c r="C37" s="4" t="inlineStr">
        <x:is>
          <x:t xml:space="preserve">كيمارت: خصم 70 ريال</x:t>
        </x:is>
      </x:c>
      <x:c r="D37" s="4" t="inlineStr">
        <x:is>
          <x:t xml:space="preserve">استمتع بخصم يصل حتى 70 ريالاً لدى كيمارت عند الدفع باستخدام أي من بطاقات الإنماء باي كاش باك . حالة العميل (جديد/حالي) تحدد حسب حساب المستخدم في تطبيق كيمارت</x:t>
        </x:is>
      </x:c>
      <x:c r="E37" s="5"/>
      <x:c r="F37" s="5" t="n">
        <x:v>46254.0</x:v>
      </x:c>
      <x:c r="G37" s="5" t="n">
        <x:v>46276.0</x:v>
      </x:c>
      <x:c r="H37" s="7" t="str">
        <x:f t="shared" si="1"/>
      </x:c>
      <x:c r="I37" s="6" t="str">
        <x:f t="shared" si="2"/>
      </x:c>
      <x:c r="J37" s="4"/>
      <x:c r="K37" s="4"/>
      <x:c r="L37" s="4"/>
      <x:c r="M37" s="9" t="str">
        <x:f t="shared" si="3"/>
      </x:c>
      <x:c r="N37" s="4" t="inlineStr">
        <x:is>
          <x:t xml:space="preserve">https://www.alinmapay.com.sa/Offers/Keemart_Aug_2026</x:t>
        </x:is>
      </x:c>
      <x:c r="O37" s="4"/>
      <x:c r="P37" s="4"/>
      <x:c r="Q37" s="4"/>
      <x:c r="R37" s="4"/>
      <x:c r="S37" s="4"/>
      <x:c r="T37" s="5" t="n">
        <x:v>46259.82478451854</x:v>
      </x:c>
      <x:c r="U37" s="35" t="str">
        <x:f t="shared" si="4"/>
      </x:c>
    </x:row>
    <x:row r="38" ht="46.650001525878906" customHeight="1">
      <x:c r="A38" s="8" t="str">
        <x:f t="shared" si="0"/>
      </x:c>
      <x:c r="B38" s="4" t="inlineStr">
        <x:is>
          <x:t xml:space="preserve">Merchant</x:t>
        </x:is>
      </x:c>
      <x:c r="C38" s="4" t="inlineStr">
        <x:is>
          <x:t xml:space="preserve">ليجو لاند: خصم 15%</x:t>
        </x:is>
      </x:c>
      <x:c r="D38" s="4" t="inlineStr">
        <x:is>
          <x:t xml:space="preserve">استمتع بخصم 15% لدى ليجو لاند على تذاكر الدخول ليوم كامل عند الدفع بأي من بطاقات الإنماء باي فيزا . يسري العرض من 19 أغسطس حتى 30 سبتمبر 2026 .</x:t>
        </x:is>
      </x:c>
      <x:c r="E38" s="5"/>
      <x:c r="F38" s="5" t="n">
        <x:v>46253.0</x:v>
      </x:c>
      <x:c r="G38" s="5" t="n">
        <x:v>46295.0</x:v>
      </x:c>
      <x:c r="H38" s="7" t="str">
        <x:f t="shared" si="1"/>
      </x:c>
      <x:c r="I38" s="6" t="str">
        <x:f t="shared" si="2"/>
      </x:c>
      <x:c r="J38" s="4"/>
      <x:c r="K38" s="4"/>
      <x:c r="L38" s="4"/>
      <x:c r="M38" s="9" t="str">
        <x:f t="shared" si="3"/>
      </x:c>
      <x:c r="N38" s="4" t="inlineStr">
        <x:is>
          <x:t xml:space="preserve">https://www.alinmapay.com.sa/Offers/LegoLand_2026</x:t>
        </x:is>
      </x:c>
      <x:c r="O38" s="4"/>
      <x:c r="P38" s="4"/>
      <x:c r="Q38" s="4"/>
      <x:c r="R38" s="4"/>
      <x:c r="S38" s="4"/>
      <x:c r="T38" s="5" t="n">
        <x:v>46259.82478451854</x:v>
      </x:c>
      <x:c r="U38" s="35" t="str">
        <x:f t="shared" si="4"/>
      </x:c>
    </x:row>
    <x:row r="39" ht="46.650001525878906" customHeight="1">
      <x:c r="A39" s="8" t="str">
        <x:f t="shared" si="0"/>
      </x:c>
      <x:c r="B39" s="4" t="inlineStr">
        <x:is>
          <x:t xml:space="preserve">Merchant</x:t>
        </x:is>
      </x:c>
      <x:c r="C39" s="4" t="inlineStr">
        <x:is>
          <x:t xml:space="preserve">مدام تيسو: خصم 15%</x:t>
        </x:is>
      </x:c>
      <x:c r="D39" s="4" t="inlineStr">
        <x:is>
          <x:t xml:space="preserve">استمتع بخصم 15% لدى مدام تيسو على التذاكر العادية عند الدفع بأي من بطاقات الإنماء باي فيزا . يسري العرض من 19 أغسطس حتى 30 سبتمبر 2026 .</x:t>
        </x:is>
      </x:c>
      <x:c r="E39" s="5"/>
      <x:c r="F39" s="5" t="n">
        <x:v>46253.0</x:v>
      </x:c>
      <x:c r="G39" s="5" t="n">
        <x:v>46295.0</x:v>
      </x:c>
      <x:c r="H39" s="7" t="str">
        <x:f t="shared" si="1"/>
      </x:c>
      <x:c r="I39" s="6" t="str">
        <x:f t="shared" si="2"/>
      </x:c>
      <x:c r="J39" s="4"/>
      <x:c r="K39" s="4"/>
      <x:c r="L39" s="4"/>
      <x:c r="M39" s="9" t="str">
        <x:f t="shared" si="3"/>
      </x:c>
      <x:c r="N39" s="4" t="inlineStr">
        <x:is>
          <x:t xml:space="preserve">https://www.alinmapay.com.sa/Offers/MADAME-TUSSAUDS_2026</x:t>
        </x:is>
      </x:c>
      <x:c r="O39" s="4"/>
      <x:c r="P39" s="4"/>
      <x:c r="Q39" s="4"/>
      <x:c r="R39" s="4"/>
      <x:c r="S39" s="4"/>
      <x:c r="T39" s="5" t="n">
        <x:v>46259.82478451854</x:v>
      </x:c>
      <x:c r="U39" s="35" t="str">
        <x:f t="shared" si="4"/>
      </x:c>
    </x:row>
    <x:row r="40" ht="46.650001525878906" customHeight="1">
      <x:c r="A40" s="8" t="str">
        <x:f t="shared" si="0"/>
      </x:c>
      <x:c r="B40" s="4"/>
      <x:c r="C40" s="4"/>
      <x:c r="D40" s="4"/>
      <x:c r="E40" s="5"/>
      <x:c r="F40" s="5"/>
      <x:c r="G40" s="5"/>
      <x:c r="H40" s="7" t="str">
        <x:f t="shared" si="1"/>
      </x:c>
      <x:c r="I40" s="6" t="str">
        <x:f t="shared" si="2"/>
      </x:c>
      <x:c r="J40" s="4"/>
      <x:c r="K40" s="4"/>
      <x:c r="L40" s="4"/>
      <x:c r="M40" s="9" t="str">
        <x:f t="shared" si="3"/>
      </x:c>
      <x:c r="N40" s="4"/>
      <x:c r="O40" s="4"/>
      <x:c r="P40" s="4"/>
      <x:c r="Q40" s="4"/>
      <x:c r="R40" s="4"/>
      <x:c r="S40" s="4"/>
      <x:c r="T40" s="5"/>
      <x:c r="U40" s="35" t="str">
        <x:f t="shared" si="4"/>
      </x:c>
    </x:row>
    <x:row r="41" ht="46.650001525878906" customHeight="1">
      <x:c r="A41" s="8" t="str">
        <x:f t="shared" si="0"/>
      </x:c>
      <x:c r="B41" s="4"/>
      <x:c r="C41" s="4"/>
      <x:c r="D41" s="4"/>
      <x:c r="E41" s="5"/>
      <x:c r="F41" s="5"/>
      <x:c r="G41" s="5"/>
      <x:c r="H41" s="7" t="str">
        <x:f t="shared" si="1"/>
      </x:c>
      <x:c r="I41" s="6" t="str">
        <x:f t="shared" si="2"/>
      </x:c>
      <x:c r="J41" s="4"/>
      <x:c r="K41" s="4"/>
      <x:c r="L41" s="4"/>
      <x:c r="M41" s="9" t="str">
        <x:f t="shared" si="3"/>
      </x:c>
      <x:c r="N41" s="4"/>
      <x:c r="O41" s="4"/>
      <x:c r="P41" s="4"/>
      <x:c r="Q41" s="4"/>
      <x:c r="R41" s="4"/>
      <x:c r="S41" s="4"/>
      <x:c r="T41" s="5"/>
      <x:c r="U41" s="35" t="str">
        <x:f t="shared" si="4"/>
      </x:c>
    </x:row>
    <x:row r="42" ht="46.650001525878906" customHeight="1">
      <x:c r="A42" s="8" t="str">
        <x:f t="shared" si="0"/>
      </x:c>
      <x:c r="B42" s="4"/>
      <x:c r="C42" s="4"/>
      <x:c r="D42" s="4"/>
      <x:c r="E42" s="5"/>
      <x:c r="F42" s="5"/>
      <x:c r="G42" s="5"/>
      <x:c r="H42" s="7" t="str">
        <x:f t="shared" si="1"/>
      </x:c>
      <x:c r="I42" s="6" t="str">
        <x:f t="shared" si="2"/>
      </x:c>
      <x:c r="J42" s="4"/>
      <x:c r="K42" s="4"/>
      <x:c r="L42" s="4"/>
      <x:c r="M42" s="9" t="str">
        <x:f t="shared" si="3"/>
      </x:c>
      <x:c r="N42" s="4"/>
      <x:c r="O42" s="4"/>
      <x:c r="P42" s="4"/>
      <x:c r="Q42" s="4"/>
      <x:c r="R42" s="4"/>
      <x:c r="S42" s="4"/>
      <x:c r="T42" s="5"/>
      <x:c r="U42" s="35" t="str">
        <x:f t="shared" si="4"/>
      </x:c>
    </x:row>
  </x:sheetData>
  <x:mergeCells>
    <x:mergeCell ref="A1:T1"/>
    <x:mergeCell ref="A4:C4"/>
    <x:mergeCell ref="A5:C5"/>
    <x:mergeCell ref="D4:F4"/>
    <x:mergeCell ref="D5:F5"/>
    <x:mergeCell ref="G4:I4"/>
    <x:mergeCell ref="G5:I5"/>
    <x:mergeCell ref="J4:L4"/>
    <x:mergeCell ref="J5:L5"/>
    <x:mergeCell ref="M4:T5"/>
    <x:mergeCell ref="A2:L2"/>
    <x:mergeCell ref="M2:U2"/>
  </x:mergeCells>
  <x:conditionalFormatting sqref="A9:T42">
    <x:cfRule type="expression" dxfId="15" priority="6">
      <x:formula>AND($C9&lt;&gt;"",$M9="")</x:formula>
    </x:cfRule>
  </x:conditionalFormatting>
  <x:conditionalFormatting sqref="A9:T500">
    <x:cfRule type="expression" dxfId="14" priority="7">
      <x:formula>$B9="Merchant"</x:formula>
    </x:cfRule>
    <x:cfRule type="expression" dxfId="13" priority="8">
      <x:formula>$B9="Remittance"</x:formula>
    </x:cfRule>
    <x:cfRule type="expression" dxfId="12" priority="15">
      <x:formula>AND($C9&lt;&gt;"",$M9="")</x:formula>
    </x:cfRule>
  </x:conditionalFormatting>
  <x:conditionalFormatting sqref="B9:B500">
    <x:cfRule type="expression" dxfId="11" priority="9">
      <x:formula>B9="Remittance"</x:formula>
    </x:cfRule>
  </x:conditionalFormatting>
  <x:conditionalFormatting sqref="I9:I42">
    <x:cfRule type="expression" dxfId="10" priority="1">
      <x:formula>I9="Active"</x:formula>
    </x:cfRule>
    <x:cfRule type="expression" dxfId="9" priority="2">
      <x:formula>I9="End Date Not Stated"</x:formula>
    </x:cfRule>
    <x:cfRule type="expression" dxfId="8" priority="3">
      <x:formula>I9="Expiring ≤7 Days"</x:formula>
    </x:cfRule>
    <x:cfRule type="expression" dxfId="7" priority="4">
      <x:formula>I9="Expiring 8–30 Days"</x:formula>
    </x:cfRule>
    <x:cfRule type="expression" dxfId="6" priority="5">
      <x:formula>I9="Expired"</x:formula>
    </x:cfRule>
  </x:conditionalFormatting>
  <x:conditionalFormatting sqref="I9:I500">
    <x:cfRule type="expression" dxfId="5" priority="10">
      <x:formula>I9="Active"</x:formula>
    </x:cfRule>
    <x:cfRule type="expression" dxfId="4" priority="11">
      <x:formula>I9="End Date Not Stated"</x:formula>
    </x:cfRule>
    <x:cfRule type="expression" dxfId="3" priority="12">
      <x:formula>I9="Expiring ≤7 Days"</x:formula>
    </x:cfRule>
    <x:cfRule type="expression" dxfId="2" priority="13">
      <x:formula>I9="Expiring 8–30 Days"</x:formula>
    </x:cfRule>
    <x:cfRule type="expression" dxfId="1" priority="14">
      <x:formula>I9="Expired"</x:formula>
    </x:cfRule>
  </x:conditionalFormatting>
  <x:conditionalFormatting sqref="U9:U42">
    <x:cfRule type="expression" dxfId="0" priority="16">
      <x:formula>U9="No direct social post verified"</x:formula>
    </x:cfRule>
  </x:conditionalFormatting>
  <x:dataValidations count="1">
    <x:dataValidation type="list" sqref="B9:B500">
      <x:formula1>"Remittance,Musaned,SADAD,Card,Merchant,Engagement,Other"</x:formula1>
    </x:dataValidation>
  </x:dataValidations>
  <x:pageMargins left="0.7" right="0.7" top="0.75" bottom="0.75" header="0.3" footer="0.3"/>
  <x:tableParts count="1">
    <x:tablePart ns1:id="R0978fa95d2494467"/>
  </x:tableParts>
</x:worksheet>
</file>

<file path=xl/worksheets/sheet8.xml><?xml version="1.0" encoding="utf-8"?>
<x:worksheet xmlns:x="http://schemas.openxmlformats.org/spreadsheetml/2006/main">
  <x:sheetFormatPr defaultRowHeight="14"/>
  <x:cols>
    <x:col min="1" max="1" width="18" customWidth="1"/>
    <x:col min="2" max="2" width="65" customWidth="1"/>
    <x:col min="3" max="3" width="58" customWidth="1"/>
    <x:col min="4" max="4" width="28" customWidth="1"/>
    <x:col min="5" max="5" width="30" customWidth="1"/>
    <x:col min="6" max="6" width="44" customWidth="1"/>
    <x:col min="7" max="7" width="70" customWidth="1"/>
    <x:col min="8" max="8" width="36" customWidth="1"/>
  </x:cols>
  <x:sheetData>
    <x:row r="1" ht="21.5">
      <x:c r="A1" s="58" t="s">
        <x:v>356</x:v>
      </x:c>
      <x:c r="B1" s="58"/>
      <x:c r="C1" s="58"/>
      <x:c r="D1" s="58"/>
      <x:c r="E1" s="58"/>
      <x:c r="F1" s="58"/>
      <x:c r="G1" s="58"/>
      <x:c r="H1" s="58"/>
    </x:row>
    <x:row r="2" ht="22.649999618530273" customHeight="1">
      <x:c r="A2" s="59" t="s">
        <x:v>357</x:v>
      </x:c>
      <x:c r="B2" s="59"/>
      <x:c r="C2" s="59"/>
      <x:c r="D2" s="59"/>
      <x:c r="E2" s="59"/>
      <x:c r="F2" s="59"/>
      <x:c r="G2" s="59"/>
      <x:c r="H2" s="59"/>
    </x:row>
    <x:row r="4">
      <x:c r="A4" s="26" t="s">
        <x:v>358</x:v>
      </x:c>
      <x:c r="B4" s="26" t="s">
        <x:v>359</x:v>
      </x:c>
      <x:c r="C4" s="26" t="s">
        <x:v>360</x:v>
      </x:c>
      <x:c r="D4" s="26" t="s">
        <x:v>361</x:v>
      </x:c>
    </x:row>
    <x:row r="5" ht="38.650001525878906" customHeight="1">
      <x:c r="A5" s="27" t="s">
        <x:v>15</x:v>
      </x:c>
      <x:c r="B5" s="27" t="s">
        <x:v>362</x:v>
      </x:c>
      <x:c r="C5" s="27" t="s">
        <x:v>363</x:v>
      </x:c>
      <x:c r="D5" s="27" t="s">
        <x:v>364</x:v>
      </x:c>
    </x:row>
    <x:row r="6" ht="38.650001525878906" customHeight="1">
      <x:c r="A6" s="4" t="s">
        <x:v>16</x:v>
      </x:c>
      <x:c r="B6" s="4" t="s">
        <x:v>362</x:v>
      </x:c>
      <x:c r="C6" s="4" t="s">
        <x:v>365</x:v>
      </x:c>
      <x:c r="D6" s="4" t="s">
        <x:v>366</x:v>
      </x:c>
    </x:row>
    <x:row r="7" ht="38.650001525878906" customHeight="1">
      <x:c r="A7" s="4" t="s">
        <x:v>17</x:v>
      </x:c>
      <x:c r="B7" s="4" t="s">
        <x:v>362</x:v>
      </x:c>
      <x:c r="C7" s="4" t="s">
        <x:v>367</x:v>
      </x:c>
      <x:c r="D7" s="4" t="s">
        <x:v>368</x:v>
      </x:c>
    </x:row>
    <x:row r="8" ht="38.650001525878906" customHeight="1">
      <x:c r="A8" s="4" t="s">
        <x:v>18</x:v>
      </x:c>
      <x:c r="B8" s="4" t="s">
        <x:v>362</x:v>
      </x:c>
      <x:c r="C8" s="4" t="s">
        <x:v>369</x:v>
      </x:c>
      <x:c r="D8" s="4" t="s">
        <x:v>370</x:v>
      </x:c>
    </x:row>
    <x:row r="9" ht="38.650001525878906" customHeight="1">
      <x:c r="A9" s="4" t="s">
        <x:v>19</x:v>
      </x:c>
      <x:c r="B9" s="4" t="s">
        <x:v>362</x:v>
      </x:c>
      <x:c r="C9" s="4" t="s">
        <x:v>371</x:v>
      </x:c>
      <x:c r="D9" s="4" t="s">
        <x:v>372</x:v>
      </x:c>
    </x:row>
    <x:row r="10" ht="38.650001525878906" customHeight="1">
      <x:c r="A10" s="28" t="s">
        <x:v>101</x:v>
      </x:c>
      <x:c r="B10" s="28" t="s">
        <x:v>373</x:v>
      </x:c>
      <x:c r="C10" s="28" t="s">
        <x:v>374</x:v>
      </x:c>
      <x:c r="D10" s="28" t="s">
        <x:v>375</x:v>
      </x:c>
    </x:row>
    <x:row r="11" ht="38.650001525878906" customHeight="1">
      <x:c r="A11" s="4" t="s">
        <x:v>29</x:v>
      </x:c>
      <x:c r="B11" s="4" t="s">
        <x:v>376</x:v>
      </x:c>
      <x:c r="C11" s="4" t="s">
        <x:v>377</x:v>
      </x:c>
      <x:c r="D11" s="4" t="s">
        <x:v>378</x:v>
      </x:c>
    </x:row>
    <x:row r="14" ht="16.5">
      <x:c r="A14" s="46" t="s">
        <x:v>379</x:v>
      </x:c>
      <x:c r="B14" s="46"/>
      <x:c r="C14" s="46"/>
      <x:c r="D14" s="46"/>
      <x:c r="E14" s="46"/>
      <x:c r="F14" s="46"/>
      <x:c r="G14" s="46"/>
      <x:c r="H14" s="46"/>
    </x:row>
    <x:row r="15" ht="22.649999618530273" customHeight="1">
      <x:c r="A15" s="60" t="s">
        <x:v>380</x:v>
      </x:c>
      <x:c r="B15" s="60"/>
      <x:c r="C15" s="60"/>
      <x:c r="D15" s="60"/>
      <x:c r="E15" s="60"/>
      <x:c r="F15" s="60"/>
      <x:c r="G15" s="60"/>
      <x:c r="H15" s="60"/>
    </x:row>
    <x:row r="16" ht="22.649999618530273" customHeight="1">
      <x:c r="A16" s="61" t="s">
        <x:v>381</x:v>
      </x:c>
      <x:c r="B16" s="61"/>
      <x:c r="C16" s="61"/>
      <x:c r="D16" s="61"/>
      <x:c r="E16" s="61"/>
      <x:c r="F16" s="61"/>
      <x:c r="G16" s="61"/>
      <x:c r="H16" s="61"/>
    </x:row>
    <x:row r="17" ht="22.649999618530273" customHeight="1">
      <x:c r="A17" s="60" t="s">
        <x:v>382</x:v>
      </x:c>
      <x:c r="B17" s="60"/>
      <x:c r="C17" s="60"/>
      <x:c r="D17" s="60"/>
      <x:c r="E17" s="60"/>
      <x:c r="F17" s="60"/>
      <x:c r="G17" s="60"/>
      <x:c r="H17" s="60"/>
    </x:row>
    <x:row r="18" ht="22.649999618530273" customHeight="1">
      <x:c r="A18" s="61" t="s">
        <x:v>383</x:v>
      </x:c>
      <x:c r="B18" s="61"/>
      <x:c r="C18" s="61"/>
      <x:c r="D18" s="61"/>
      <x:c r="E18" s="61"/>
      <x:c r="F18" s="61"/>
      <x:c r="G18" s="61"/>
      <x:c r="H18" s="61"/>
    </x:row>
    <x:row r="19" ht="22.649999618530273" customHeight="1">
      <x:c r="A19" s="60" t="s">
        <x:v>384</x:v>
      </x:c>
      <x:c r="B19" s="60"/>
      <x:c r="C19" s="60"/>
      <x:c r="D19" s="60"/>
      <x:c r="E19" s="60"/>
      <x:c r="F19" s="60"/>
      <x:c r="G19" s="60"/>
      <x:c r="H19" s="60"/>
    </x:row>
    <x:row r="20" ht="36.650001525878906" customHeight="1"/>
    <x:row r="21" ht="36.650001525878906" customHeight="1"/>
    <x:row r="22" ht="36.650001525878906" customHeight="1">
      <x:c r="A22" s="45" t="s">
        <x:v>385</x:v>
      </x:c>
      <x:c r="B22" s="45"/>
      <x:c r="C22" s="45"/>
      <x:c r="D22" s="45"/>
      <x:c r="E22" s="45"/>
      <x:c r="F22" s="45"/>
      <x:c r="G22" s="45"/>
      <x:c r="H22" s="45"/>
    </x:row>
    <x:row r="23" ht="32" customHeight="1"/>
    <x:row r="24" ht="32" customHeight="1">
      <x:c r="A24" s="21" t="s">
        <x:v>386</x:v>
      </x:c>
      <x:c r="B24" s="21" t="s">
        <x:v>387</x:v>
      </x:c>
      <x:c r="D24" s="29" t="s">
        <x:v>388</x:v>
      </x:c>
      <x:c r="E24" s="29" t="s">
        <x:v>389</x:v>
      </x:c>
      <x:c r="F24" s="29" t="s">
        <x:v>390</x:v>
      </x:c>
      <x:c r="G24" s="29" t="s">
        <x:v>391</x:v>
      </x:c>
      <x:c r="H24" s="29" t="s">
        <x:v>392</x:v>
      </x:c>
    </x:row>
    <x:row r="25" ht="46.650001525878906" customHeight="1">
      <x:c r="A25" s="1" t="s">
        <x:v>393</x:v>
      </x:c>
      <x:c r="B25" s="1" t="s">
        <x:v>394</x:v>
      </x:c>
      <x:c r="D25" s="4" t="s">
        <x:v>395</x:v>
      </x:c>
      <x:c r="E25" s="4" t="s">
        <x:v>396</x:v>
      </x:c>
      <x:c r="F25" s="4" t="s">
        <x:v>397</x:v>
      </x:c>
      <x:c r="G25" s="4" t="s">
        <x:v>398</x:v>
      </x:c>
      <x:c r="H25" s="4" t="s">
        <x:v>399</x:v>
      </x:c>
    </x:row>
    <x:row r="26" ht="46.650001525878906" customHeight="1">
      <x:c r="A26" s="1" t="s">
        <x:v>400</x:v>
      </x:c>
      <x:c r="B26" s="1" t="s">
        <x:v>401</x:v>
      </x:c>
      <x:c r="D26" s="4" t="s">
        <x:v>402</x:v>
      </x:c>
      <x:c r="E26" s="4" t="s">
        <x:v>403</x:v>
      </x:c>
      <x:c r="F26" s="4" t="s">
        <x:v>404</x:v>
      </x:c>
      <x:c r="G26" s="4" t="s">
        <x:v>405</x:v>
      </x:c>
      <x:c r="H26" s="4" t="s">
        <x:v>406</x:v>
      </x:c>
    </x:row>
    <x:row r="27" ht="46.650001525878906" customHeight="1">
      <x:c r="A27" s="1" t="s">
        <x:v>407</x:v>
      </x:c>
      <x:c r="B27" s="1" t="s">
        <x:v>408</x:v>
      </x:c>
      <x:c r="D27" s="4" t="s">
        <x:v>409</x:v>
      </x:c>
      <x:c r="E27" s="4" t="s">
        <x:v>410</x:v>
      </x:c>
      <x:c r="F27" s="4" t="s">
        <x:v>411</x:v>
      </x:c>
      <x:c r="G27" s="4" t="s">
        <x:v>412</x:v>
      </x:c>
      <x:c r="H27" s="4" t="s">
        <x:v>413</x:v>
      </x:c>
    </x:row>
    <x:row r="28" ht="30.649999618530273" customHeight="1">
      <x:c r="A28" s="1" t="s">
        <x:v>414</x:v>
      </x:c>
      <x:c r="B28" s="1" t="s">
        <x:v>415</x:v>
      </x:c>
    </x:row>
    <x:row r="29" ht="30.649999618530273" customHeight="1">
      <x:c r="A29" s="1" t="s">
        <x:v>416</x:v>
      </x:c>
      <x:c r="B29" s="1" t="s">
        <x:v>417</x:v>
      </x:c>
    </x:row>
    <x:row r="30" ht="30.649999618530273" customHeight="1">
      <x:c r="A30" s="1" t="s">
        <x:v>418</x:v>
      </x:c>
      <x:c r="B30" s="1" t="s">
        <x:v>419</x:v>
      </x:c>
    </x:row>
    <x:row r="31" ht="30.649999618530273" customHeight="1">
      <x:c r="A31" s="1" t="s">
        <x:v>420</x:v>
      </x:c>
      <x:c r="B31" s="1" t="s">
        <x:v>421</x:v>
      </x:c>
    </x:row>
    <x:row r="32" ht="30.649999618530273" customHeight="1">
      <x:c r="A32" s="1" t="s">
        <x:v>422</x:v>
      </x:c>
      <x:c r="B32" s="1" t="s">
        <x:v>423</x:v>
      </x:c>
    </x:row>
    <x:row r="34" ht="22.649999618530273" customHeight="1">
      <x:c r="A34" s="62" t="s">
        <x:v>424</x:v>
      </x:c>
      <x:c r="B34" s="62"/>
      <x:c r="C34" s="62"/>
      <x:c r="D34" s="62"/>
      <x:c r="E34" s="62"/>
      <x:c r="F34" s="62"/>
      <x:c r="G34" s="62"/>
      <x:c r="H34" s="62"/>
    </x:row>
  </x:sheetData>
  <x:mergeCells>
    <x:mergeCell ref="A17:H17"/>
    <x:mergeCell ref="A18:H18"/>
    <x:mergeCell ref="A19:H19"/>
    <x:mergeCell ref="A22:H22"/>
    <x:mergeCell ref="A34:H34"/>
    <x:mergeCell ref="A1:H1"/>
    <x:mergeCell ref="A2:H2"/>
    <x:mergeCell ref="A14:H14"/>
    <x:mergeCell ref="A15:H15"/>
    <x:mergeCell ref="A16:H16"/>
  </x:mergeCells>
  <x:pageMargins left="0.7" right="0.7" top="0.75" bottom="0.75" header="0.3" footer="0.3"/>
</x:worksheet>
</file>