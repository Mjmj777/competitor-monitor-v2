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<x:sst xmlns:x="http://schemas.openxmlformats.org/spreadsheetml/2006/main">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</x:sst>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1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34</c:v>
                </c:pt>
                <c:pt idx="1">
                  <c:v>14</c:v>
                </c:pt>
                <c:pt idx="2">
                  <c:v>19</c:v>
                </c:pt>
                <c:pt idx="3">
                  <c:v>14</c:v>
                </c:pt>
                <c:pt idx="4">
                  <c:v>4</c:v>
                </c:pt>
                <c:pt idx="5">
                  <c:v>16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70</c:v>
                </c:pt>
                <c:pt idx="1">
                  <c:v>54</c:v>
                </c:pt>
                <c:pt idx="2">
                  <c:v>0</c:v>
                </c:pt>
                <c:pt idx="3">
                  <c:v>13</c:v>
                </c:pt>
                <c:pt idx="4">
                  <c:v>23</c:v>
                </c:pt>
                <c:pt idx="5">
                  <c:v>25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87</c:v>
                </c:pt>
                <c:pt idx="1">
                  <c:v>9</c:v>
                </c:pt>
                <c:pt idx="2">
                  <c:v>23</c:v>
                </c:pt>
                <c:pt idx="3">
                  <c:v>14</c:v>
                </c:pt>
                <c:pt idx="4">
                  <c:v>1</c:v>
                </c:pt>
                <c:pt idx="5">
                  <c:v>13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11</c:v>
                </c:pt>
                <c:pt idx="1">
                  <c:v>13</c:v>
                </c:pt>
                <c:pt idx="2">
                  <c:v>4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1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46300.98565035546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46300.986394329135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4</x:v>
      </x:c>
    </x:row>
    <x:row r="6" ht="19" customHeight="1">
      <x:c r="A6" s="251" t="n">
        <x:f>SUM($Y$2:$Y$7)</x:f>
        <x:v>23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464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34</x:v>
      </x:c>
      <x:c r="Z12" s="289" t="n">
        <x:v>70</x:v>
      </x:c>
      <x:c r="AA12" s="289" t="n">
        <x:v>87</x:v>
      </x:c>
      <x:c r="AB12" s="289" t="n">
        <x:v>11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14</x:v>
      </x:c>
      <x:c r="Z13" s="289" t="n">
        <x:v>54</x:v>
      </x:c>
      <x:c r="AA13" s="289" t="n">
        <x:v>9</x:v>
      </x:c>
      <x:c r="AB13" s="289" t="n">
        <x:v>13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19</x:v>
      </x:c>
      <x:c r="Z14" s="289" t="n">
        <x:v>0</x:v>
      </x:c>
      <x:c r="AA14" s="289" t="n">
        <x:v>23</x:v>
      </x:c>
      <x:c r="AB14" s="289" t="n">
        <x:v>4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14</x:v>
      </x:c>
      <x:c r="Z15" s="289" t="n">
        <x:v>13</x:v>
      </x:c>
      <x:c r="AA15" s="289" t="n">
        <x:v>14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4</x:v>
      </x:c>
      <x:c r="Z16" s="289" t="n">
        <x:v>23</x:v>
      </x:c>
      <x:c r="AA16" s="289" t="n">
        <x:v>1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16</x:v>
      </x:c>
      <x:c r="Z17" s="289" t="n">
        <x:v>25</x:v>
      </x:c>
      <x:c r="AA17" s="289" t="n">
        <x:v>13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1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10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49</x:v>
      </x:c>
      <x:c r="U9" s="35" t="inlineStr">
        <x:is>
          <x:t xml:space="preserve">Instagram, X, Facebook</x:t>
        </x:is>
      </x:c>
    </x:row>
    <x:row r="10" ht="46.650001525878906" customHeight="1">
      <x:c r="A10" s="8">
        <x:f t="shared" si="0">IF(C10="","",ROW()-8)</x:f>
      </x:c>
      <x:c r="B10" s="4"/>
      <x:c r="C10" s="4"/>
      <x:c r="D10" s="4"/>
      <x:c r="E10" s="5"/>
      <x:c r="F10" s="5"/>
      <x:c r="G10" s="5"/>
      <x:c r="H10" s="7">
        <x:f t="shared" si="1">IF(OR(C10="",G10=""),"",G10-TODAY())</x:f>
      </x:c>
      <x:c r="I10" s="6">
        <x:f t="shared" si="2">IF(C10="","",IF(G10="","End Date Not Stated",IF(G10&lt;TODAY(),"Expired",IF(G10&lt;=TODAY()+7,"Expiring ≤7 Days",IF(G10&lt;=TODAY()+30,"Expiring 8–30 Days","Active")))))</x:f>
      </x:c>
      <x:c r="J10" s="4"/>
      <x:c r="K10" s="4"/>
      <x:c r="L10" s="4"/>
      <x:c r="M10" s="9">
        <x:f>IF(C10="","",IF(N10&lt;&gt;"",N10,IF(O10&lt;&gt;"",O10,IF(P10&lt;&gt;"",P10,IF(Q10&lt;&gt;"",Q10,IF(R10&lt;&gt;"",R10,""))))))</x:f>
      </x:c>
      <x:c r="N10" s="63"/>
      <x:c r="O10" s="4"/>
      <x:c r="P10" s="4"/>
      <x:c r="Q10" s="63"/>
      <x:c r="R10" s="4"/>
      <x:c r="S10" s="4"/>
      <x:c r="T10" s="5"/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46387.0</x:v>
      </x:c>
      <x:c r="H9" s="7" t="n">
        <x:f t="shared" ref="H9:H42" si="1">IF(OR(C9="",G9=""),"",G9-TODAY())</x:f>
        <x:v>87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26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26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87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22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84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87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