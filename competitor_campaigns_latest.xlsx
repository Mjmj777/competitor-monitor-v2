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36fc58776cf48cf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5f1577cb48344911"/>
    <x:sheet name="STC Bank" sheetId="2" ns1:id="R4397643bb0234d49"/>
    <x:sheet name="barq" sheetId="3" ns1:id="R12300eafff044100"/>
    <x:sheet name="Mobily Pay" sheetId="4" ns1:id="Rebfd25cee29947ef"/>
    <x:sheet name="tiqmo" sheetId="5" ns1:id="Rdd72ea7ed1ef43d8"/>
    <x:sheet name="urpay" sheetId="6" ns1:id="Rc78d7a8474e2417b"/>
    <x:sheet name="alinma pay" sheetId="7" ns1:id="Rb9242eb315bf4d3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<x:sst xmlns:x="http://schemas.openxmlformats.org/spreadsheetml/2006/main">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</x:sst>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4513ce9b40064bdf" /><Relationship Type="http://schemas.openxmlformats.org/officeDocument/2006/relationships/theme" Target="/xl/theme/theme1.xml" Id="R33219d1a598e4ace" /><Relationship Type="http://schemas.openxmlformats.org/officeDocument/2006/relationships/sharedStrings" Target="/xl/sharedStrings.xml" Id="Reed00ddf40204333" /><Relationship Type="http://schemas.openxmlformats.org/officeDocument/2006/relationships/worksheet" Target="/xl/worksheets/sheet1.xml" Id="R5f1577cb48344911" /><Relationship Type="http://schemas.openxmlformats.org/officeDocument/2006/relationships/worksheet" Target="/xl/worksheets/sheet2.xml" Id="R4397643bb0234d49" /><Relationship Type="http://schemas.openxmlformats.org/officeDocument/2006/relationships/worksheet" Target="/xl/worksheets/sheet3.xml" Id="R12300eafff044100" /><Relationship Type="http://schemas.openxmlformats.org/officeDocument/2006/relationships/worksheet" Target="/xl/worksheets/sheet4.xml" Id="Rebfd25cee29947ef" /><Relationship Type="http://schemas.openxmlformats.org/officeDocument/2006/relationships/worksheet" Target="/xl/worksheets/sheet5.xml" Id="Rdd72ea7ed1ef43d8" /><Relationship Type="http://schemas.openxmlformats.org/officeDocument/2006/relationships/worksheet" Target="/xl/worksheets/sheet6.xml" Id="Rc78d7a8474e2417b" /><Relationship Type="http://schemas.openxmlformats.org/officeDocument/2006/relationships/worksheet" Target="/xl/worksheets/sheet7.xml" Id="Rb9242eb315bf4d3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86800e536a1e482d" /><Relationship Type="http://schemas.openxmlformats.org/officeDocument/2006/relationships/chart" Target="/xl/drawings/charts/chart2.xml" Id="R982afbaaab63415d" /><Relationship Type="http://schemas.openxmlformats.org/officeDocument/2006/relationships/chart" Target="/xl/drawings/charts/chart3.xml" Id="Rb9b4cbebddbb4e95" /><Relationship Type="http://schemas.openxmlformats.org/officeDocument/2006/relationships/chart" Target="/xl/drawings/charts/chart4.xml" Id="Rfe392f48126b48c5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3</c:v>
                </c:pt>
                <c:pt idx="1">
                  <c:v>5</c:v>
                </c:pt>
                <c:pt idx="2">
                  <c:v>6</c:v>
                </c:pt>
                <c:pt idx="3">
                  <c:v>5</c:v>
                </c:pt>
                <c:pt idx="4">
                  <c:v>3</c:v>
                </c:pt>
                <c:pt idx="5">
                  <c:v>4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12</c:v>
                </c:pt>
                <c:pt idx="1">
                  <c:v>2</c:v>
                </c:pt>
                <c:pt idx="2">
                  <c:v>1</c:v>
                </c:pt>
                <c:pt idx="3">
                  <c:v>6</c:v>
                </c:pt>
                <c:pt idx="4">
                  <c:v>3</c:v>
                </c:pt>
                <c:pt idx="5">
                  <c:v>2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4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34</c:v>
                </c:pt>
                <c:pt idx="1">
                  <c:v>13</c:v>
                </c:pt>
                <c:pt idx="2">
                  <c:v>19</c:v>
                </c:pt>
                <c:pt idx="3">
                  <c:v>13</c:v>
                </c:pt>
                <c:pt idx="4">
                  <c:v>15</c:v>
                </c:pt>
                <c:pt idx="5">
                  <c:v>9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69</c:v>
                </c:pt>
                <c:pt idx="1">
                  <c:v>54</c:v>
                </c:pt>
                <c:pt idx="2">
                  <c:v>2</c:v>
                </c:pt>
                <c:pt idx="3">
                  <c:v>12</c:v>
                </c:pt>
                <c:pt idx="4">
                  <c:v>28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65</c:v>
                </c:pt>
                <c:pt idx="1">
                  <c:v>15</c:v>
                </c:pt>
                <c:pt idx="2">
                  <c:v>22</c:v>
                </c:pt>
                <c:pt idx="3">
                  <c:v>13</c:v>
                </c:pt>
                <c:pt idx="4">
                  <c:v>4</c:v>
                </c:pt>
                <c:pt idx="5">
                  <c:v>7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15</c:v>
                </c:pt>
                <c:pt idx="1">
                  <c:v>14</c:v>
                </c:pt>
                <c:pt idx="2">
                  <c:v>2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86800e536a1e482d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982afbaaab63415d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9b4cbebddbb4e95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e392f48126b48c5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34cd1ca6c38d4eb5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4236429e2e8341d2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7ece700b5b7643cd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5fe976c1cd51462f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7e9d564994ea49a5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1e3eef9596a941a3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2a5aaf585c294709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3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12</x:v>
      </x:c>
    </x:row>
    <x:row r="3" ht="22" customHeight="1">
      <x:c r="A3" s="226" t="str">
        <x:v>Research Cut-off</x:v>
      </x:c>
      <x:c r="B3" s="227" t="n">
        <x:v>46288.91672808665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46288.91754822419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5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2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4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5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6</x:v>
      </x:c>
    </x:row>
    <x:row r="6" ht="19" customHeight="1">
      <x:c r="A6" s="251" t="n">
        <x:f>SUM($Y$2:$Y$7)</x:f>
        <x:v>26</x:v>
      </x:c>
      <x:c r="B6" s="252"/>
      <x:c r="C6" s="211"/>
      <x:c r="D6" s="251" t="n">
        <x:f>SUM($AB$2:$AB$7)</x:f>
        <x:v>12</x:v>
      </x:c>
      <x:c r="E6" s="252"/>
      <x:c r="F6" s="211"/>
      <x:c r="G6" s="285" t="n">
        <x:f>SUM($Y$12:$AB$17)</x:f>
        <x:v>445</x:v>
      </x:c>
      <x:c r="H6" s="286"/>
      <x:c r="I6" s="211"/>
      <x:c r="J6" s="251" t="n">
        <x:f>$AE$12</x:f>
        <x:v>5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4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2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34</x:v>
      </x:c>
      <x:c r="Z12" s="289" t="n">
        <x:v>69</x:v>
      </x:c>
      <x:c r="AA12" s="289" t="n">
        <x:v>65</x:v>
      </x:c>
      <x:c r="AB12" s="289" t="n">
        <x:v>15</x:v>
      </x:c>
      <x:c r="AD12" s="289" t="inlineStr">
        <x:is>
          <x:t xml:space="preserve">Expiring ≤30 Days</x:t>
        </x:is>
      </x:c>
      <x:c r="AE12" s="289" t="n">
        <x:v>5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13</x:v>
      </x:c>
      <x:c r="Z13" s="289" t="n">
        <x:v>54</x:v>
      </x:c>
      <x:c r="AA13" s="289" t="n">
        <x:v>15</x:v>
      </x:c>
      <x:c r="AB13" s="289" t="n">
        <x:v>14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19</x:v>
      </x:c>
      <x:c r="Z14" s="289" t="n">
        <x:v>2</x:v>
      </x:c>
      <x:c r="AA14" s="289" t="n">
        <x:v>22</x:v>
      </x:c>
      <x:c r="AB14" s="289" t="n">
        <x:v>2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13</x:v>
      </x:c>
      <x:c r="Z15" s="289" t="n">
        <x:v>12</x:v>
      </x:c>
      <x:c r="AA15" s="289" t="n">
        <x:v>13</x:v>
      </x:c>
      <x:c r="AB15" s="289" t="n">
        <x:v>2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15</x:v>
      </x:c>
      <x:c r="Z16" s="289" t="n">
        <x:v>28</x:v>
      </x:c>
      <x:c r="AA16" s="289" t="n">
        <x:v>4</x:v>
      </x:c>
      <x:c r="AB16" s="289" t="n">
        <x:v>1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9</x:v>
      </x:c>
      <x:c r="Z17" s="289" t="n">
        <x:v>15</x:v>
      </x:c>
      <x:c r="AA17" s="289" t="n">
        <x:v>7</x:v>
      </x:c>
      <x:c r="AB17" s="289" t="n">
        <x:v>2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 t="n">
        <x:f t="shared" ref="B27:G27" si="0">SUM(B21:B26)</x:f>
        <x:v>0</x:v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 t="n">
        <x:f t="shared" ref="X31:X36" si="1">A10</x:f>
        <x:v>0</x:v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 t="n">
        <x:f t="shared" ref="B60:F60" si="2">SUM(B54:B59)</x:f>
        <x:v>0</x:v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34cd1ca6c38d4eb5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3</x:v>
      </x:c>
      <x:c r="B5" s="53"/>
      <x:c r="C5" s="53"/>
      <x:c r="D5" s="53" t="n">
        <x:f>COUNTIFS('STC Bank'!$C$9:$C$500,"&lt;&gt;",'STC Bank'!$I$9:$I$500,"End Date Not Stated")</x:f>
        <x:v>0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3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 t="n">
        <x:v>46253.70450231482</x:v>
      </x:c>
      <x:c r="G9" s="5" t="n">
        <x:v>46293.0</x:v>
      </x:c>
      <x:c r="H9" s="7" t="n">
        <x:f t="shared" ref="H9:H53" si="1">IF(OR(C9="",G9=""),"",G9-TODAY())</x:f>
        <x:v>5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34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 t="n">
        <x:v>46240.0</x:v>
      </x:c>
      <x:c r="G10" s="5" t="n">
        <x:v>46297.0</x:v>
      </x:c>
      <x:c r="H10" s="7" t="n">
        <x:f t="shared" si="1">IF(OR(C10="",G10=""),"",G10-TODAY())</x:f>
        <x:v>9</x:v>
      </x:c>
      <x:c r="I10" s="6" t="str">
        <x:f t="shared" si="2">IF(C10="","",IF(G10="","End Date Not Stated",IF(G10&lt;TODAY(),"Expired",IF(G10&lt;=TODAY()+7,"Expiring ≤7 Days",IF(G10&lt;=TODAY()+30,"Expiring 8–30 Days","Active")))))</x:f>
        <x:v>Expiring 8–30 Days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/>
      <x:c r="F11" s="5" t="n">
        <x:v>46132.45142361111</x:v>
      </x:c>
      <x:c r="G11" s="5" t="n">
        <x:v>46293.0</x:v>
      </x:c>
      <x:c r="H11" s="7" t="n">
        <x:f t="shared" si="1">IF(OR(C11="",G11=""),"",G11-TODAY())</x:f>
        <x:v>5</x:v>
      </x:c>
      <x:c r="I11" s="6" t="str">
        <x:f t="shared" si="2">IF(C11="","",IF(G11="","End Date Not Stated",IF(G11&lt;TODAY(),"Expired",IF(G11&lt;=TODAY()+7,"Expiring ≤7 Days",IF(G11&lt;=TODAY()+30,"Expiring 8–30 Days","Active")))))</x:f>
        <x:v>Expiring ≤7 Days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/>
      <x:c r="T11" s="8" t="n">
        <x:v>10</x:v>
      </x:c>
      <x:c r="U11" s="35" t="inlineStr">
        <x:is>
          <x:t xml:space="preserve">Instagram, X, Facebook, TikTok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4">IF(C12="","",IF(N12&lt;&gt;"",N12,IF(O12&lt;&gt;"",O12,IF(P12&lt;&gt;"",P12,IF(Q12&lt;&gt;"",Q12,IF(R12&lt;&gt;"",R12,""))))))</x:f>
      </x:c>
      <x:c r="N12" s="4"/>
      <x:c r="O12" s="63"/>
      <x:c r="P12" s="63"/>
      <x:c r="Q12" s="63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4236429e2e8341d2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119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5</x:v>
      </x:c>
      <x:c r="B5" s="53"/>
      <x:c r="C5" s="53"/>
      <x:c r="D5" s="53" t="n">
        <x:f>COUNTIFS('barq'!$C$9:$C$500,"&lt;&gt;",'barq'!$I$9:$I$500,"End Date Not Stated")</x:f>
        <x:v>5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barq Marathon</x:t>
        </x:is>
      </x:c>
      <x:c r="D9" s="4" t="inlineStr">
        <x:is>
          <x:t xml:space="preserve">Transaction-based points and competition with a large prize pool and winner base.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Card usage and in-app engagement</x:t>
        </x:is>
      </x:c>
      <x:c r="K9" s="4" t="inlineStr">
        <x:is>
          <x:t xml:space="preserve">Prize pool increased to SAR 500,000 and 20,000 winners</x:t>
        </x:is>
      </x:c>
      <x:c r="L9" s="4" t="inlineStr">
        <x:is>
          <x:t xml:space="preserve">barq Visa customers</x:t>
        </x:is>
      </x:c>
      <x:c r="M9" s="9" t="str">
        <x:f>IF(C9="","",IF(N9&lt;&gt;"",N9,IF(O9&lt;&gt;"",O9,IF(P9&lt;&gt;"",P9,IF(Q9&lt;&gt;"",Q9,IF(R9&lt;&gt;"",R9,""))))))</x:f>
        <x:v>https://www.instagram.com/reel/DYxvJOWiZY5/</x:v>
      </x:c>
      <x:c r="N9" s="4" t="inlineStr">
        <x:is>
          <x:t xml:space="preserve">https://www.instagram.com/reel/DYxvJOWiZY5/</x:t>
        </x:is>
      </x:c>
      <x:c r="O9" s="63" t="inlineStr">
        <x:is>
          <x:t xml:space="preserve">https://www.instagram.com/reel/DYxvJOWiZY5/</x:t>
        </x:is>
      </x:c>
      <x:c r="P9" s="4"/>
      <x:c r="Q9" s="63" t="inlineStr">
        <x:is>
          <x:t xml:space="preserve">https://www.facebook.com/share/p/1BbFALsFYP/</x:t>
        </x:is>
      </x:c>
      <x:c r="R9" s="4"/>
      <x:c r="S9" s="4" t="inlineStr">
        <x:is>
          <x:t xml:space="preserve">Campaign end date is not stated in the official post.</x:t>
        </x:is>
      </x:c>
      <x:c r="T9" s="8" t="n">
        <x:v>2</x:v>
      </x:c>
      <x:c r="U9" s="35" t="inlineStr">
        <x:is>
          <x:t xml:space="preserve">Instagram,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FX Rate Awareness Campaign</x:t>
        </x:is>
      </x:c>
      <x:c r="D10" s="4"/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 / FX rate awareness</x:t>
        </x:is>
      </x:c>
      <x:c r="K10" s="4" t="inlineStr">
        <x:is>
          <x:t xml:space="preserve">All barq customers using international transfers</x:t>
        </x:is>
      </x:c>
      <x:c r="L10" s="4" t="inlineStr">
        <x:is>
          <x:t xml:space="preserve">Educational campaign explaining exchange rates and how they affect the received amount in international transfers.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https://www.instagram.com/reel/DaaydiADUvg/?utm_source=ig_web_button_share_sheet&amp;igsh=MzRlODBiNWFlZA==</x:v>
      </x:c>
      <x:c r="N10" s="4" t="inlineStr">
        <x:is>
          <x:t xml:space="preserve">https://www.instagram.com/reel/DaaydiADUvg/?utm_source=ig_web_button_share_sheet&amp;igsh=MzRlODBiNWFlZA==</x:t>
        </x:is>
      </x:c>
      <x:c r="O10" s="4" t="inlineStr">
        <x:is>
          <x:t xml:space="preserve">https://www.instagram.com/reel/DaaydiADUvg/?utm_source=ig_web_button_share_sheet&amp;igsh=MzRlODBiNWFlZA==</x:t>
        </x:is>
      </x:c>
      <x:c r="P10" s="4"/>
      <x:c r="Q10" s="63"/>
      <x:c r="R10" s="4"/>
      <x:c r="S10" s="4"/>
      <x:c r="T10" s="8" t="n">
        <x:v>1</x:v>
      </x:c>
      <x:c r="U10" s="35" t="inlineStr">
        <x:is>
          <x:t xml:space="preserve">Instagram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Engagement</x:t>
        </x:is>
      </x:c>
      <x:c r="C11" s="4" t="inlineStr">
        <x:is>
          <x:t xml:space="preserve">Prediction Game</x:t>
        </x:is>
      </x:c>
      <x:c r="D11" s="4" t="inlineStr">
        <x:is>
          <x:t xml:space="preserve">In-app match prediction game with a prize pool of up to SAR 500,000.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In-app sports engagement</x:t>
        </x:is>
      </x:c>
      <x:c r="K11" s="4" t="inlineStr">
        <x:is>
          <x:t xml:space="preserve">Prediction game with prizes worth up to SAR 500,000</x:t>
        </x:is>
      </x:c>
      <x:c r="L11" s="4" t="inlineStr">
        <x:is>
          <x:t xml:space="preserve">barq app customers</x:t>
        </x:is>
      </x:c>
      <x:c r="M11" s="9" t="str">
        <x:f t="shared" si="4">IF(C11="","",IF(N11&lt;&gt;"",N11,IF(O11&lt;&gt;"",O11,IF(P11&lt;&gt;"",P11,IF(Q11&lt;&gt;"",Q11,IF(R11&lt;&gt;"",R11,""))))))</x:f>
        <x:v>https://www.facebook.com/usebarq/posts/update-your-barq-app-and-join-the-prediction-game-win-your-share-of-prizes-worth/122197690844385166/</x:v>
      </x:c>
      <x:c r="N11" s="4" t="inlineStr">
        <x:is>
          <x:t xml:space="preserve">https://www.facebook.com/usebarq/posts/update-your-barq-app-and-join-the-prediction-game-win-your-share-of-prizes-worth/122197690844385166/</x:t>
        </x:is>
      </x:c>
      <x:c r="O11" s="4"/>
      <x:c r="P11" s="4"/>
      <x:c r="Q11" s="63" t="inlineStr">
        <x:is>
          <x:t xml:space="preserve">https://www.facebook.com/usebarq/posts/update-your-barq-app-and-join-the-prediction-game-win-your-share-of-prizes-worth/122197690844385166/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1</x:v>
      </x:c>
      <x:c r="U11" s="35" t="inlineStr">
        <x:is>
          <x:t xml:space="preserve">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</x:t>
        </x:is>
      </x:c>
      <x:c r="D12" s="4" t="inlineStr">
        <x:is>
          <x:t xml:space="preserve">Fee-free international transfers to selected destinations and payout channels.</x:t>
        </x:is>
      </x:c>
      <x:c r="E12" s="5"/>
      <x:c r="F12" s="5" t="n">
        <x:v>46240.0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Zero transfer fees on eligible transfers</x:t>
        </x:is>
      </x:c>
      <x:c r="L12" s="4" t="inlineStr">
        <x:is>
          <x:t xml:space="preserve">barq customers; destination and payout-channel terms apply</x:t>
        </x:is>
      </x:c>
      <x:c r="M12" s="9" t="str">
        <x:f t="shared" si="4">IF(C12="","",IF(N12&lt;&gt;"",N12,IF(O12&lt;&gt;"",O12,IF(P12&lt;&gt;"",P12,IF(Q12&lt;&gt;"",Q12,IF(R12&lt;&gt;"",R12,""))))))</x:f>
        <x:v>https://www.instagram.com/p/Dazzjtdt1Jt/?utm_source=ig_web_button_share_sheet&amp;igsh=MzRlODBiNWFlZA==</x:v>
      </x:c>
      <x:c r="N12" s="4" t="inlineStr">
        <x:is>
          <x:t xml:space="preserve">https://www.instagram.com/p/Dazzjtdt1Jt/?utm_source=ig_web_button_share_sheet&amp;igsh=MzRlODBiNWFlZA==</x:t>
        </x:is>
      </x:c>
      <x:c r="O12" s="63" t="inlineStr">
        <x:is>
          <x:t xml:space="preserve">https://www.instagram.com/p/Dazzjtdt1Jt/?utm_source=ig_web_button_share_sheet&amp;igsh=MzRlODBiNWFlZA==</x:t>
        </x:is>
      </x:c>
      <x:c r="P12" s="4"/>
      <x:c r="Q12" s="63" t="inlineStr">
        <x:is>
          <x:t xml:space="preserve">https://www.facebook.com/usebarq/videos/barq-transfer-fast-and-free/1218272083516944/</x:t>
        </x:is>
      </x:c>
      <x:c r="R12" s="4"/>
      <x:c r="S12" s="4" t="inlineStr">
        <x:is>
          <x:t xml:space="preserve">Current official posts in early August continue to promote fast, fee-free international transfers. No campaign end date is stated.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 t="n">
        <x:v>46229.53383101852</x:v>
      </x:c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63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ce700b5b7643cd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156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4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Cashback and Miles</x:t>
        </x:is>
      </x:c>
      <x:c r="D9" s="4" t="inlineStr">
        <x:is>
          <x:t xml:space="preserve">The offer is valid until 30 September 2026. The offer applies when paying with the following cards Mobily Pay (Platinum and Signature).</x:t>
        </x:is>
      </x:c>
      <x:c r="E9" s="5"/>
      <x:c r="F9" s="5" t="n">
        <x:v>46265.37844901162</x:v>
      </x:c>
      <x:c r="G9" s="5" t="n">
        <x:v>46295.0</x:v>
      </x:c>
      <x:c r="H9" s="7" t="n">
        <x:f t="shared" ref="H9:H42" si="1">IF(OR(C9="",G9=""),"",G9-TODAY())</x:f>
        <x:v>7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https://mobilypay.sa/en/offers/offer-60.html</x:v>
      </x:c>
      <x:c r="N9" s="63" t="inlineStr">
        <x:is>
          <x:t xml:space="preserve">https://mobilypay.sa/en/offers/offer-60.html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Free International Transfer Fees</x:t>
        </x:is>
      </x:c>
      <x:c r="D11" s="4" t="inlineStr">
        <x:is>
          <x:t xml:space="preserve">Offer valid from 1 Aug until 31 Oct 2026. Transfer fees are (free) for transfers of SAR 1,000 or more.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38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/>
      <x:c r="L11" s="4"/>
      <x:c r="M11" s="9" t="str">
        <x:f t="shared" si="3">IF(C11="","",IF(N11&lt;&gt;"",N11,IF(O11&lt;&gt;"",O11,IF(P11&lt;&gt;"",P11,IF(Q11&lt;&gt;"",Q11,IF(R11&lt;&gt;"",R11,""))))))</x:f>
        <x:v>https://mobilypay.sa/en/offers/offer-55.html</x:v>
      </x:c>
      <x:c r="N11" s="4" t="inlineStr">
        <x:is>
          <x:t xml:space="preserve">https://mobilypay.sa/en/offers/offer-55.html</x:t>
        </x:is>
      </x:c>
      <x:c r="O11" s="4"/>
      <x:c r="P11" s="4"/>
      <x:c r="Q11" s="63"/>
      <x:c r="R11" s="4"/>
      <x:c r="S11" s="4"/>
      <x:c r="T11" s="8" t="n">
        <x:v>0</x:v>
      </x:c>
      <x:c r="U11" s="35"/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Zero-Fee International Transfers – Aug–Oct 2026</x:t>
        </x:is>
      </x:c>
      <x:c r="D12" s="4" t="inlineStr">
        <x:is>
          <x:t xml:space="preserve">Qualifying international transfers are offered with zero transfer fees under corridor and amount thresholds stated on the official campaign page.</x:t>
        </x:is>
      </x:c>
      <x:c r="E12" s="5"/>
      <x:c r="F12" s="5" t="n">
        <x:v>46235.0</x:v>
      </x:c>
      <x:c r="G12" s="5" t="n">
        <x:v>46326.0</x:v>
      </x:c>
      <x:c r="H12" s="7" t="n">
        <x:f t="shared" si="1">IF(OR(C12="",G12=""),"",G12-TODAY())</x:f>
        <x:v>38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 t="inlineStr">
        <x:is>
          <x:t xml:space="preserve">International transfers through MoneyGram</x:t>
        </x:is>
      </x:c>
      <x:c r="K12" s="4" t="inlineStr">
        <x:is>
          <x:t xml:space="preserve">Zero transfer fees on qualifying transfers; standard SAR 9 fees apply below certain corridor/amount thresholds</x:t>
        </x:is>
      </x:c>
      <x:c r="L12" s="4" t="inlineStr">
        <x:is>
          <x:t xml:space="preserve">Mobily Pay customers; corridor, currency, amount threshold, VAT and MoneyGram terms apply</x:t>
        </x:is>
      </x:c>
      <x:c r="M12" s="9" t="str">
        <x:f t="shared" si="3">IF(C12="","",IF(N12&lt;&gt;"",N12,IF(O12&lt;&gt;"",O12,IF(P12&lt;&gt;"",P12,IF(Q12&lt;&gt;"",Q12,IF(R12&lt;&gt;"",R12,""))))))</x:f>
        <x:v>https://mobilypay.sa/en/offers/offer-56.html</x:v>
      </x:c>
      <x:c r="N12" s="4" t="inlineStr">
        <x:is>
          <x:t xml:space="preserve">https://mobilypay.sa/en/offers/offer-56.html</x:t>
        </x:is>
      </x:c>
      <x:c r="O12" s="4" t="inlineStr">
        <x:is>
          <x:t xml:space="preserve">https://www.instagram.com/reel/DZuhOEDFRNn/</x:t>
        </x:is>
      </x:c>
      <x:c r="P12" s="4"/>
      <x:c r="Q12" s="4" t="inlineStr">
        <x:is>
          <x:t xml:space="preserve">https://www.facebook.com/mobilypay/videos/transfer-now/829680072943900/</x:t>
        </x:is>
      </x:c>
      <x:c r="R12" s="4"/>
      <x:c r="S12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2" s="8" t="n">
        <x:v>2</x:v>
      </x:c>
      <x:c r="U12" s="35" t="inlineStr">
        <x:is>
          <x:t xml:space="preserve">Instagram,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7</x:v>
      </x:c>
      <x:c r="I13" s="6" t="str">
        <x:f t="shared" si="2">IF(C13="","",IF(G13="","End Date Not Stated",IF(G13&lt;TODAY(),"Expired",IF(G13&lt;=TODAY()+7,"Expiring ≤7 Days",IF(G13&lt;=TODAY()+30,"Expiring 8–30 Days","Active")))))</x:f>
        <x:v>Expiring ≤7 Days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 t="inlineStr">
        <x:is>
          <x:t xml:space="preserve">https://m.facebook.com/mobilypay/posts/pfbid0GWrj6drx2V2e6HdVw9hrRjBmGCZVD5emPrFueMyDERit7HWbDdAiJv6fyrbwgP2rl</x:t>
        </x:is>
      </x:c>
      <x:c r="R14" s="4"/>
      <x:c r="S14" s="4"/>
      <x:c r="T14" s="8" t="n">
        <x:v>1</x:v>
      </x:c>
      <x:c r="U14" s="35" t="inlineStr">
        <x:is>
          <x:t xml:space="preserve">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fe976c1cd51462f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193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3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5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 t="n">
        <x:v>46260.201719168355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 t="n">
        <x:v>46260.201719168355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SADAD</x:t>
        </x:is>
      </x:c>
      <x:c r="C11" s="4" t="inlineStr">
        <x:is>
          <x:t xml:space="preserve">SADAD Daily Cashback</x:t>
        </x:is>
      </x:c>
      <x:c r="D11" s="4" t="inlineStr">
        <x:is>
          <x:t xml:space="preserve">Pay a SADAD bill for a daily chance to win SAR 1,000 cashback.</x:t>
        </x:is>
      </x:c>
      <x:c r="E11" s="5"/>
      <x:c r="F11" s="5" t="n">
        <x:v>46227.0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SADAD bill payments</x:t>
        </x:is>
      </x:c>
      <x:c r="K11" s="4" t="inlineStr">
        <x:is>
          <x:t xml:space="preserve">Daily draw for SAR 1,000 cashback</x:t>
        </x:is>
      </x:c>
      <x:c r="L11" s="4" t="inlineStr">
        <x:is>
          <x:t xml:space="preserve">tiqmo customers using SADAD</x:t>
        </x:is>
      </x:c>
      <x:c r="M11" s="9" t="str">
        <x:f t="shared" si="3">IF(C11="","",IF(N11&lt;&gt;"",N11,IF(O11&lt;&gt;"",O11,IF(P11&lt;&gt;"",P11,IF(Q11&lt;&gt;"",Q11,IF(R11&lt;&gt;"",R11,""))))))</x:f>
        <x:v>https://www.instagram.com/tiqmoksa/p/DbLZ9Yfj6dy/</x:v>
      </x:c>
      <x:c r="N11" s="4" t="inlineStr">
        <x:is>
          <x:t xml:space="preserve">https://www.instagram.com/tiqmoksa/p/DbLZ9Yfj6dy/</x:t>
        </x:is>
      </x:c>
      <x:c r="O11" s="4" t="inlineStr">
        <x:is>
          <x:t xml:space="preserve">https://www.instagram.com/tiqmoksa/p/DbLZ9Yfj6dy/</x:t>
        </x:is>
      </x:c>
      <x:c r="P11" s="63" t="inlineStr">
        <x:is>
          <x:t xml:space="preserve">https://x.com/tiqmo/status/2080654590756978954</x:t>
        </x:is>
      </x:c>
      <x:c r="Q11" s="4" t="inlineStr">
        <x:is>
          <x:t xml:space="preserve">https://www.facebook.com/Tiqmoksa/videos/sar-1000-cashback-every-daypay-your-bills-through-sadad-tiqmo-and-enter-the-dail/28285312344409396/</x:t>
        </x:is>
      </x:c>
      <x:c r="R11" s="4"/>
      <x:c r="S11" s="4" t="inlineStr">
        <x:is>
          <x:t xml:space="preserve">Campaign end date is not stated in the official post.</x:t>
        </x:is>
      </x:c>
      <x:c r="T11" s="8" t="n">
        <x:v>6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Monthly International Transfer Streak Cashback</x:t>
        </x:is>
      </x:c>
      <x:c r="D12" s="4" t="inlineStr">
        <x:is>
          <x:t xml:space="preserve">Transfer SAR 1,500 or more internationally each month to receive increasing monthly cashback while maintaining the monthly streak.</x:t>
        </x:is>
      </x:c>
      <x:c r="E12" s="5"/>
      <x:c r="F12" s="5" t="n">
        <x:v>46223.66736111111</x:v>
      </x:c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transfers</x:t>
        </x:is>
      </x:c>
      <x:c r="K12" s="4" t="inlineStr">
        <x:is>
          <x:t xml:space="preserve">SAR 1,500+ monthly transfer threshold, increasing monthly cashback, and zero transfer fees</x:t>
        </x:is>
      </x:c>
      <x:c r="L12" s="4" t="inlineStr">
        <x:is>
          <x:t xml:space="preserve">tiqmo customers making qualifying monthly international transfers</x:t>
        </x:is>
      </x:c>
      <x:c r="M12" s="9" t="str">
        <x:f t="shared" si="3">IF(C12="","",IF(N12&lt;&gt;"",N12,IF(O12&lt;&gt;"",O12,IF(P12&lt;&gt;"",P12,IF(Q12&lt;&gt;"",Q12,IF(R12&lt;&gt;"",R12,""))))))</x:f>
        <x:v>https://www.instagram.com/p/DbBUcjiIHS1/</x:v>
      </x:c>
      <x:c r="N12" s="4" t="inlineStr">
        <x:is>
          <x:t xml:space="preserve">https://www.instagram.com/p/DbBUcjiIHS1/</x:t>
        </x:is>
      </x:c>
      <x:c r="O12" s="4" t="inlineStr">
        <x:is>
          <x:t xml:space="preserve">https://www.instagram.com/p/DbBUcjiIHS1/</x:t>
        </x:is>
      </x:c>
      <x:c r="P12" s="63" t="inlineStr">
        <x:is>
          <x:t xml:space="preserve">https://x.com/tiqmo/status/2079235327240368574</x:t>
        </x:is>
      </x:c>
      <x:c r="Q12" s="63" t="inlineStr">
        <x:is>
          <x:t xml:space="preserve">https://www.facebook.com/Tiqmoksa/posts/your-monthly-cashback-is-heretransfer-internationally-sar-1500-or-more-every-mon/1027166950077303/</x:t>
        </x:is>
      </x:c>
      <x:c r="R12" s="4"/>
      <x:c r="S12" s="4" t="inlineStr">
        <x:is>
          <x:t xml:space="preserve">Current official posts continue to promote Monthly Streak Rewards. The official post does not state a campaign end date.</x:t>
        </x:is>
      </x:c>
      <x:c r="T12" s="8" t="n">
        <x:v>5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International Card Transaction Fees</x:t>
        </x:is>
      </x:c>
      <x:c r="D13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3" s="5"/>
      <x:c r="F13" s="5" t="n">
        <x:v>46143.0</x:v>
      </x:c>
      <x:c r="G13" s="5" t="n">
        <x:v>46387.0</x:v>
      </x:c>
      <x:c r="H13" s="7" t="n">
        <x:f t="shared" si="1">IF(OR(C13="",G13=""),"",G13-TODAY())</x:f>
        <x:v>99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 t="inlineStr">
        <x:is>
          <x:t xml:space="preserve">International POS purchases and international ATM withdrawals</x:t>
        </x:is>
      </x:c>
      <x:c r="K13" s="4" t="inlineStr">
        <x:is>
          <x:t xml:space="preserve">0% international transaction fees and zero fees on overseas ATM withdrawals</x:t>
        </x:is>
      </x:c>
      <x:c r="L13" s="4" t="inlineStr">
        <x:is>
          <x:t xml:space="preserve">tiqmo customers using eligible cards while travelling outside Saudi Arabia</x:t>
        </x:is>
      </x:c>
      <x:c r="M13" s="9" t="str">
        <x:f t="shared" si="3">IF(C13="","",IF(N13&lt;&gt;"",N13,IF(O13&lt;&gt;"",O13,IF(P13&lt;&gt;"",P13,IF(Q13&lt;&gt;"",Q13,IF(R13&lt;&gt;"",R13,""))))))</x:f>
        <x:v>https://tiqmo.com/en/offers</x:v>
      </x:c>
      <x:c r="N13" s="4" t="inlineStr">
        <x:is>
          <x:t xml:space="preserve">https://tiqmo.com/en/offers</x:t>
        </x:is>
      </x:c>
      <x:c r="O13" s="63" t="inlineStr">
        <x:is>
          <x:t xml:space="preserve">https://www.instagram.com/p/DbQxYrrjfrH/</x:t>
        </x:is>
      </x:c>
      <x:c r="P13" s="63" t="inlineStr">
        <x:is>
          <x:t xml:space="preserve">https://x.com/tiqmo/status/2081409451844870239</x:t>
        </x:is>
      </x:c>
      <x:c r="Q13" s="63" t="inlineStr">
        <x:is>
          <x:t xml:space="preserve">https://www.facebook.com/Tiqmoksa/videos/1605667747644721/</x:t>
        </x:is>
      </x:c>
      <x:c r="R13" s="63" t="inlineStr">
        <x:is>
          <x:t xml:space="preserve">https://www.tiktok.com/@tiqmoksa/video/7666867037418867985</x:t>
        </x:is>
      </x:c>
      <x:c r="S13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3" s="8" t="n">
        <x:v>19</x:v>
      </x:c>
      <x:c r="U13" s="35" t="inlineStr">
        <x:is>
          <x:t xml:space="preserve">Instagram, X, Facebook, TikTok</x:t>
        </x:is>
      </x:c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7e9d564994ea49a5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228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 t="n">
        <x:v>46240.0</x:v>
      </x:c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 t="n">
        <x:v>46240.0</x:v>
      </x:c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e3eef9596a941a3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  <x:col min="5" max="5" width="0.10999999940395355" hidden="0" customWidth="1"/>
  </x:cols>
  <x:sheetData>
    <x:row r="1" ht="22.649999618530273" customHeight="1">
      <x:c r="A1" s="52" t="s">
        <x:v>284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29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4</x:v>
      </x:c>
      <x:c r="B5" s="53"/>
      <x:c r="C5" s="53"/>
      <x:c r="D5" s="53" t="n">
        <x:f>COUNTIFS('alinma pay'!$C$9:$C$500,"&lt;&gt;",'alinma pay'!$I$9:$I$500,"End Date Not Stated")</x:f>
        <x:v>2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tr">
        <x:v> </x:v>
      </x:c>
      <x:c r="F8" s="3" t="s">
        <x:v>6</x:v>
      </x:c>
      <x:c r="G8" s="3" t="s">
        <x:v>7</x:v>
      </x:c>
      <x:c r="H8" s="3" t="s">
        <x:v>8</x:v>
      </x:c>
      <x:c r="I8" s="3" t="s">
        <x:v>9</x:v>
      </x:c>
      <x:c r="J8" s="3" t="s">
        <x:v>10</x:v>
      </x:c>
      <x:c r="K8" s="3" t="s">
        <x:v>11</x:v>
      </x:c>
      <x:c r="L8" s="3" t="s">
        <x:v>12</x:v>
      </x:c>
      <x:c r="M8" s="3" t="s">
        <x:v>13</x:v>
      </x:c>
      <x:c r="N8" s="3" t="s">
        <x:v>14</x:v>
      </x:c>
      <x:c r="O8" s="3" t="s">
        <x:v>15</x:v>
      </x:c>
      <x:c r="P8" s="3" t="s">
        <x:v>16</x:v>
      </x:c>
      <x:c r="Q8" s="3" t="s">
        <x:v>17</x:v>
      </x:c>
      <x:c r="R8" s="3" t="s">
        <x:v>18</x:v>
      </x:c>
      <x:c r="S8" s="3" t="s">
        <x:v>19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Transfers for SAR 5</x:t>
        </x:is>
      </x:c>
      <x:c r="D9" s="4" t="inlineStr">
        <x:is>
          <x:t xml:space="preserve">Flat SAR 5 transfer fee to multiple international corridors.</x:t>
        </x:is>
      </x:c>
      <x:c r="E9" s="5"/>
      <x:c r="F9" s="5" t="n">
        <x:v>46240.0</x:v>
      </x:c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 through alinma pay Direct</x:t>
        </x:is>
      </x:c>
      <x:c r="K9" s="4" t="inlineStr">
        <x:is>
          <x:t xml:space="preserve">Flat SAR 5 transfer fee</x:t>
        </x:is>
      </x:c>
      <x:c r="L9" s="4" t="inlineStr">
        <x:is>
          <x:t xml:space="preserve">Transfers to listed destinations including the Philippines, Egypt, Bangladesh, Sri Lanka, Indonesia, Nepal, Jordan, and Morocco</x:t>
        </x:is>
      </x:c>
      <x:c r="M9" s="9" t="str">
        <x:f t="shared" ref="M9:M42" si="3">IF(C9="","",IF(N9&lt;&gt;"",N9,IF(O9&lt;&gt;"",O9,IF(P9&lt;&gt;"",P9,IF(Q9&lt;&gt;"",Q9,IF(R9&lt;&gt;"",R9,""))))))</x:f>
        <x:v>https://www.instagram.com/alinmapay/p/CC_U-JDB6yh/</x:v>
      </x:c>
      <x:c r="N9" s="4" t="inlineStr">
        <x:is>
          <x:t xml:space="preserve">https://www.instagram.com/alinmapay/p/CC_U-JDB6yh/</x:t>
        </x:is>
      </x:c>
      <x:c r="O9" s="63" t="inlineStr">
        <x:is>
          <x:t xml:space="preserve">https://www.instagram.com/alinmapay/p/CC_U-JDB6yh/</x:t>
        </x:is>
      </x:c>
      <x:c r="P9" s="4" t="inlineStr">
        <x:is>
          <x:t xml:space="preserve">https://x.com/alinmapay/status/1978784486424035774</x:t>
        </x:is>
      </x:c>
      <x:c r="Q9" s="63" t="inlineStr">
        <x:is>
          <x:t xml:space="preserve">https://www.facebook.com/AlinmaPaySA/posts/lower-fees-easier-transfers-send-money-to-india-and-bangladesh-through-alinmapay/1606878421439989/</x:t>
        </x:is>
      </x:c>
      <x:c r="R9" s="4"/>
      <x:c r="S9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9" s="8" t="n">
        <x:v>3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Zero International Transaction Fees on Cashback Cards</x:t>
        </x:is>
      </x:c>
      <x:c r="D10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0" s="5"/>
      <x:c r="F10" s="5" t="n">
        <x:v>46240.0</x:v>
      </x:c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card purchases and overseas ATM withdrawals</x:t>
        </x:is>
      </x:c>
      <x:c r="K10" s="4" t="inlineStr">
        <x:is>
          <x:t xml:space="preserve">Zero international transaction fees, first two international cash withdrawals free, plus cashback on eligible purchases</x:t>
        </x:is>
      </x:c>
      <x:c r="L10" s="4" t="inlineStr">
        <x:is>
          <x:t xml:space="preserve">alinma pay Cashback Cards</x:t>
        </x:is>
      </x:c>
      <x:c r="M10" s="9" t="str">
        <x:f t="shared" si="3">IF(C10="","",IF(N10&lt;&gt;"",N10,IF(O10&lt;&gt;"",O10,IF(P10&lt;&gt;"",P10,IF(Q10&lt;&gt;"",Q10,IF(R10&lt;&gt;"",R10,""))))))</x:f>
        <x:v>https://www.facebook.com/AlinmaPaySA/posts/%EF%B8%8F-fees-gonetravel-anywhere-and-use-your-alinmapay-cashback-cards-without-worryin/1619335260194305/</x:v>
      </x:c>
      <x:c r="N10" s="4" t="inlineStr">
        <x:is>
          <x:t xml:space="preserve">https://www.facebook.com/AlinmaPaySA/posts/%EF%B8%8F-fees-gonetravel-anywhere-and-use-your-alinmapay-cashback-cards-without-worryin/1619335260194305/</x:t>
        </x:is>
      </x:c>
      <x:c r="O10" s="4"/>
      <x:c r="P10" s="4"/>
      <x:c r="Q10" s="63" t="inlineStr">
        <x:is>
          <x:t xml:space="preserve">https://www.facebook.com/AlinmaPaySA/posts/%EF%B8%8F-fees-gonetravel-anywhere-and-use-your-alinmapay-cashback-cards-without-worryin/1619335260194305/</x:t>
        </x:is>
      </x:c>
      <x:c r="R10" s="4"/>
      <x:c r="S10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Musaned</x:t>
        </x:is>
      </x:c>
      <x:c r="C11" s="4" t="inlineStr">
        <x:is>
          <x:t xml:space="preserve">كاش باك 100% على رواتب عمالتك المنزلية</x:t>
        </x:is>
      </x:c>
      <x:c r="D11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11" s="5"/>
      <x:c r="F11" s="5" t="n">
        <x:v>46220.50069444445</x:v>
      </x:c>
      <x:c r="G11" s="5" t="n">
        <x:v>46384.0</x:v>
      </x:c>
      <x:c r="H11" s="7" t="n">
        <x:f t="shared" si="1">IF(OR(C11="",G11=""),"",G11-TODAY())</x:f>
        <x:v>96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/>
      <x:c r="K11" s="4" t="inlineStr">
        <x:is>
          <x:t xml:space="preserve">Three winners receive 100% cashback up to SAR 1,000</x:t>
        </x:is>
      </x:c>
      <x:c r="L11" s="4" t="inlineStr">
        <x:is>
          <x:t xml:space="preserve">alinma pay customers transferring domestic-worker salaries through Musaned</x:t>
        </x:is>
      </x:c>
      <x:c r="M11" s="9" t="str">
        <x:f t="shared" si="3">IF(C11="","",IF(N11&lt;&gt;"",N11,IF(O11&lt;&gt;"",O11,IF(P11&lt;&gt;"",P11,IF(Q11&lt;&gt;"",Q11,IF(R11&lt;&gt;"",R11,""))))))</x:f>
        <x:v>https://www.alinmapay.com.sa/Offers/Musaned-Cashback</x:v>
      </x:c>
      <x:c r="N11" s="4" t="inlineStr">
        <x:is>
          <x:t xml:space="preserve">https://www.alinmapay.com.sa/Offers/Musaned-Cashback</x:t>
        </x:is>
      </x:c>
      <x:c r="O11" s="63" t="inlineStr">
        <x:is>
          <x:t xml:space="preserve">https://www.instagram.com/alinmapay/p/DbqaY05mm9E/</x:t>
        </x:is>
      </x:c>
      <x:c r="P11" s="4" t="inlineStr">
        <x:is>
          <x:t xml:space="preserve">['https://x.com/alinmapay/status/2082127730972176680', 'https://x.com/alinmapay/status/2085018248685232195']</x:t>
        </x:is>
      </x:c>
      <x:c r="Q11" s="63" t="inlineStr">
        <x:is>
          <x:t xml:space="preserve">https://m.facebook.com/AlinmaPaySA/posts/pfbid02qzFxmfE6Ajm5LhhKy4EVeNqAVycQERoEyiAKqjyHfBhKQ13AdTQGqE9Wcrs39Fucl</x:t>
        </x:is>
      </x:c>
      <x:c r="R11" s="4"/>
      <x:c r="S11" s="4"/>
      <x:c r="T11" s="8" t="n">
        <x:v>7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Remittance</x:t>
        </x:is>
      </x:c>
      <x:c r="C12" s="4" t="inlineStr">
        <x:is>
          <x:t xml:space="preserve">عرض الهند على رسوم التحويلات الدولية</x:t>
        </x:is>
      </x:c>
      <x:c r="D12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2" s="5"/>
      <x:c r="F12" s="5" t="n">
        <x:v>46068.0</x:v>
      </x:c>
      <x:c r="G12" s="5" t="n">
        <x:v>46387.0</x:v>
      </x:c>
      <x:c r="H12" s="7" t="n">
        <x:f t="shared" si="1">IF(OR(C12="",G12=""),"",G12-TODAY())</x:f>
        <x:v>99</x:v>
      </x:c>
      <x:c r="I12" s="6" t="str">
        <x:f t="shared" si="2">IF(C12="","",IF(G12="","End Date Not Stated",IF(G12&lt;TODAY(),"Expired",IF(G12&lt;=TODAY()+7,"Expiring ≤7 Days",IF(G12&lt;=TODAY()+30,"Expiring 8–30 Days","Active")))))</x:f>
        <x:v>Active</x:v>
      </x:c>
      <x:c r="J12" s="4"/>
      <x:c r="K12" s="4" t="inlineStr">
        <x:is>
          <x:t xml:space="preserve">Zero transfer fee for transfers of SAR 700 or more</x:t>
        </x:is>
      </x:c>
      <x:c r="L12" s="4" t="inlineStr">
        <x:is>
          <x:t xml:space="preserve">alinma pay Direct customers transferring to eligible Indian bank accounts</x:t>
        </x:is>
      </x:c>
      <x:c r="M12" s="9" t="str">
        <x:f t="shared" si="3">IF(C12="","",IF(N12&lt;&gt;"",N12,IF(O12&lt;&gt;"",O12,IF(P12&lt;&gt;"",P12,IF(Q12&lt;&gt;"",Q12,IF(R12&lt;&gt;"",R12,""))))))</x:f>
        <x:v>https://www.alinmapay.com.sa/Offers/India-Transfer-Fee-Offer-Aug26</x:v>
      </x:c>
      <x:c r="N12" s="4" t="inlineStr">
        <x:is>
          <x:t xml:space="preserve">https://www.alinmapay.com.sa/Offers/India-Transfer-Fee-Offer-Aug26</x:t>
        </x:is>
      </x:c>
      <x:c r="O12" s="4"/>
      <x:c r="P12" s="4"/>
      <x:c r="Q12" s="63" t="inlineStr">
        <x:is>
          <x:t xml:space="preserve">https://www.facebook.com/AlinmaPaySA/videos/zero-fees-fast-transfers-to-india/873682655502395/</x:t>
        </x:is>
      </x:c>
      <x:c r="R12" s="4" t="inlineStr">
        <x:is>
          <x:t xml:space="preserve">https://www.tiktok.com/@alinmapay/video/7586667265882443024</x:t>
        </x:is>
      </x:c>
      <x:c r="S12" s="4"/>
      <x:c r="T12" s="8" t="n">
        <x:v>2</x:v>
      </x:c>
      <x:c r="U12" s="35" t="inlineStr">
        <x:is>
          <x:t xml:space="preserve">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/>
      </x:c>
      <x:c r="B14" s="4"/>
      <x:c r="C14" s="4"/>
      <x:c r="D14" s="4"/>
      <x:c r="E14" s="5"/>
      <x:c r="F14" s="5"/>
      <x:c r="G14" s="5"/>
      <x:c r="H14" s="7">
        <x:f t="shared" si="1"/>
      </x:c>
      <x:c r="I14" s="6">
        <x:f t="shared" si="2"/>
      </x:c>
      <x:c r="J14" s="4"/>
      <x:c r="K14" s="4"/>
      <x:c r="L14" s="4"/>
      <x:c r="M14" s="9">
        <x:f t="shared" si="3"/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2a5aaf585c294709"/>
  </x:tableParts>
</x:worksheet>
</file>