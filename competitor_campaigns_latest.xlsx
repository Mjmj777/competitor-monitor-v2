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<x:sst xmlns:x="http://schemas.openxmlformats.org/spreadsheetml/2006/main">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</x:sst>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3</c:v>
                </c:pt>
                <c:pt idx="1">
                  <c:v>5</c:v>
                </c:pt>
                <c:pt idx="2">
                  <c:v>5</c:v>
                </c:pt>
                <c:pt idx="3">
                  <c:v>5</c:v>
                </c:pt>
                <c:pt idx="4">
                  <c:v>3</c:v>
                </c:pt>
                <c:pt idx="5">
                  <c:v>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2</c:v>
                </c:pt>
                <c:pt idx="2">
                  <c:v>1</c:v>
                </c:pt>
                <c:pt idx="3">
                  <c:v>6</c:v>
                </c:pt>
                <c:pt idx="4">
                  <c:v>3</c:v>
                </c:pt>
                <c:pt idx="5">
                  <c:v>2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30</c:v>
                </c:pt>
                <c:pt idx="1">
                  <c:v>9</c:v>
                </c:pt>
                <c:pt idx="2">
                  <c:v>22</c:v>
                </c:pt>
                <c:pt idx="3">
                  <c:v>12</c:v>
                </c:pt>
                <c:pt idx="4">
                  <c:v>8</c:v>
                </c:pt>
                <c:pt idx="5">
                  <c:v>11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54</c:v>
                </c:pt>
                <c:pt idx="1">
                  <c:v>17</c:v>
                </c:pt>
                <c:pt idx="2">
                  <c:v>22</c:v>
                </c:pt>
                <c:pt idx="3">
                  <c:v>11</c:v>
                </c:pt>
                <c:pt idx="4">
                  <c:v>23</c:v>
                </c:pt>
                <c:pt idx="5">
                  <c:v>13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66</c:v>
                </c:pt>
                <c:pt idx="1">
                  <c:v>14</c:v>
                </c:pt>
                <c:pt idx="2">
                  <c:v>24</c:v>
                </c:pt>
                <c:pt idx="3">
                  <c:v>13</c:v>
                </c:pt>
                <c:pt idx="4">
                  <c:v>2</c:v>
                </c:pt>
                <c:pt idx="5">
                  <c:v>8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7</c:v>
                </c:pt>
                <c:pt idx="1">
                  <c:v>10</c:v>
                </c:pt>
                <c:pt idx="2">
                  <c:v>1</c:v>
                </c:pt>
                <c:pt idx="3">
                  <c:v>0</c:v>
                </c:pt>
                <c:pt idx="4">
                  <c:v>3</c:v>
                </c:pt>
                <c:pt idx="5">
                  <c:v>1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3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46279.238110747814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46279.239282608774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5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2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5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5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6</x:v>
      </x:c>
    </x:row>
    <x:row r="6" ht="19" customHeight="1">
      <x:c r="A6" s="251" t="n">
        <x:f>SUM($Y$2:$Y$7)</x:f>
        <x:v>25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381</x:v>
      </x:c>
      <x:c r="H6" s="286"/>
      <x:c r="I6" s="211"/>
      <x:c r="J6" s="251" t="n">
        <x:f>$AE$12</x:f>
        <x:v>5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4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2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30</x:v>
      </x:c>
      <x:c r="Z12" s="289" t="n">
        <x:v>54</x:v>
      </x:c>
      <x:c r="AA12" s="289" t="n">
        <x:v>66</x:v>
      </x:c>
      <x:c r="AB12" s="289" t="n">
        <x:v>7</x:v>
      </x:c>
      <x:c r="AD12" s="289" t="inlineStr">
        <x:is>
          <x:t xml:space="preserve">Expiring ≤30 Days</x:t>
        </x:is>
      </x:c>
      <x:c r="AE12" s="289" t="n">
        <x:v>5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9</x:v>
      </x:c>
      <x:c r="Z13" s="289" t="n">
        <x:v>17</x:v>
      </x:c>
      <x:c r="AA13" s="289" t="n">
        <x:v>14</x:v>
      </x:c>
      <x:c r="AB13" s="289" t="n">
        <x:v>10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22</x:v>
      </x:c>
      <x:c r="Z14" s="289" t="n">
        <x:v>22</x:v>
      </x:c>
      <x:c r="AA14" s="289" t="n">
        <x:v>24</x:v>
      </x:c>
      <x:c r="AB14" s="289" t="n">
        <x:v>1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12</x:v>
      </x:c>
      <x:c r="Z15" s="289" t="n">
        <x:v>11</x:v>
      </x:c>
      <x:c r="AA15" s="289" t="n">
        <x:v>13</x:v>
      </x:c>
      <x:c r="AB15" s="289" t="n">
        <x:v>0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8</x:v>
      </x:c>
      <x:c r="Z16" s="289" t="n">
        <x:v>23</x:v>
      </x:c>
      <x:c r="AA16" s="289" t="n">
        <x:v>2</x:v>
      </x:c>
      <x:c r="AB16" s="289" t="n">
        <x:v>3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11</x:v>
      </x:c>
      <x:c r="Z17" s="289" t="n">
        <x:v>13</x:v>
      </x:c>
      <x:c r="AA17" s="289" t="n">
        <x:v>8</x:v>
      </x:c>
      <x:c r="AB17" s="289" t="n">
        <x:v>1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30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3</x:v>
      </x:c>
      <x:c r="B5" s="53"/>
      <x:c r="C5" s="53"/>
      <x:c r="D5" s="53" t="n">
        <x:f>COUNTIFS('STC Bank'!$C$9:$C$500,"&lt;&gt;",'STC Bank'!$I$9:$I$500,"End Date Not Stated")</x:f>
        <x:v>0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3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46281.0</x:v>
      </x:c>
      <x:c r="H9" s="7" t="n">
        <x:f t="shared" ref="H9:H53" si="1">IF(OR(C9="",G9=""),"",G9-TODAY())</x:f>
        <x:v>2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≤7 Days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25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Targeted Cash Reward on International Purchases</x:t>
        </x:is>
      </x:c>
      <x:c r="D10" s="4" t="inlineStr">
        <x:is>
          <x:t xml:space="preserve">Selected customers can earn a cash amount after meeting the international-spend requirement stated in an STC Bank SMS.</x:t>
        </x:is>
      </x:c>
      <x:c r="E10" s="5"/>
      <x:c r="F10" s="5" t="n">
        <x:v>46240.0</x:v>
      </x:c>
      <x:c r="G10" s="5" t="n">
        <x:v>46297.0</x:v>
      </x:c>
      <x:c r="H10" s="7" t="n">
        <x:f t="shared" si="1">IF(OR(C10="",G10=""),"",G10-TODAY())</x:f>
        <x:v>18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8–30 Days</x:v>
      </x:c>
      <x:c r="J10" s="4" t="inlineStr">
        <x:is>
          <x:t xml:space="preserve">International POS and e-commerce purchases</x:t>
        </x:is>
      </x:c>
      <x:c r="K10" s="4" t="inlineStr">
        <x:is>
          <x:t xml:space="preserve">Cash amount specified in the customer SMS after meeting the stated minimum spend</x:t>
        </x:is>
      </x:c>
      <x:c r="L10" s="4" t="inlineStr">
        <x:is>
          <x:t xml:space="preserve">Selected customers who received the offer SMS; STC Bank Visa payment cards (Classic, Platinum, Signature), digital or physical</x:t>
        </x:is>
      </x:c>
      <x:c r="M10" s="9" t="str">
        <x:f>IF(C10="","",IF(N10&lt;&gt;"",N10,IF(O10&lt;&gt;"",O10,IF(P10&lt;&gt;"",P10,IF(Q10&lt;&gt;"",Q10,IF(R10&lt;&gt;"",R10,""))))))</x:f>
        <x:v>https://stcbank.com.sa/en/web/guest/w/blt-cash</x:v>
      </x:c>
      <x:c r="N10" s="63" t="inlineStr">
        <x:is>
          <x:t xml:space="preserve">https://stcbank.com.sa/en/web/guest/w/blt-cash</x:t>
        </x:is>
      </x:c>
      <x:c r="O10" s="4"/>
      <x:c r="P10" s="4"/>
      <x:c r="Q10" s="63"/>
      <x:c r="R10" s="4"/>
      <x:c r="S10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STC Bank Credit Card Launch</x:t>
        </x:is>
      </x:c>
      <x:c r="D11" s="4" t="inlineStr">
        <x:is>
          <x:t xml:space="preserve">Credit cards promoted with flexible cashback of up to 10% on selected categories and 1% on other purchases.</x:t>
        </x:is>
      </x:c>
      <x:c r="E11" s="5"/>
      <x:c r="F11" s="5" t="n">
        <x:v>46132.45142361111</x:v>
      </x:c>
      <x:c r="G11" s="5" t="n">
        <x:v>46281.0</x:v>
      </x:c>
      <x:c r="H11" s="7" t="n">
        <x:f t="shared" si="1">IF(OR(C11="",G11=""),"",G11-TODAY())</x:f>
        <x:v>2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≤7 Days</x:v>
      </x:c>
      <x:c r="J11" s="4" t="inlineStr">
        <x:is>
          <x:t xml:space="preserve">Credit-card purchases</x:t>
        </x:is>
      </x:c>
      <x:c r="K11" s="4" t="inlineStr">
        <x:is>
          <x:t xml:space="preserve">Flexible category cashback of up to 10%</x:t>
        </x:is>
      </x:c>
      <x:c r="L11" s="4" t="inlineStr">
        <x:is>
          <x:t xml:space="preserve">STC Bank credit-card customers</x:t>
        </x:is>
      </x:c>
      <x:c r="M11" s="9" t="str">
        <x:f t="shared" ref="M11:M53" si="4">IF(C11="","",IF(N11&lt;&gt;"",N11,IF(O11&lt;&gt;"",O11,IF(P11&lt;&gt;"",P11,IF(Q11&lt;&gt;"",Q11,IF(R11&lt;&gt;"",R11,""))))))</x:f>
        <x:v>https://www.instagram.com/reel/DWots29j8fx/?hl=en</x:v>
      </x:c>
      <x:c r="N11" s="63" t="inlineStr">
        <x:is>
          <x:t xml:space="preserve">https://www.instagram.com/reel/DWots29j8fx/?hl=en</x:t>
        </x:is>
      </x:c>
      <x:c r="O11" s="4" t="inlineStr">
        <x:is>
          <x:t xml:space="preserve">https://www.instagram.com/reel/DWots29j8fx/?hl=en</x:t>
        </x:is>
      </x:c>
      <x:c r="P11" s="4" t="inlineStr">
        <x:is>
          <x:t xml:space="preserve">https://x.com/stcbank_ksa/status/2071639841348124772</x:t>
        </x:is>
      </x:c>
      <x:c r="Q11" s="4" t="inlineStr">
        <x:is>
          <x:t xml:space="preserve">https://www.facebook.com/share/v/1CqU3VtD85/</x:t>
        </x:is>
      </x:c>
      <x:c r="R11" s="4"/>
      <x:c r="S11" s="4"/>
      <x:c r="T11" s="8" t="n">
        <x:v>9</x:v>
      </x:c>
      <x:c r="U11" s="35" t="inlineStr">
        <x:is>
          <x:t xml:space="preserve">Instagram, X, Facebook, TikTok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4">IF(C12="","",IF(N12&lt;&gt;"",N12,IF(O12&lt;&gt;"",O12,IF(P12&lt;&gt;"",P12,IF(Q12&lt;&gt;"",Q12,IF(R12&lt;&gt;"",R12,""))))))</x:f>
      </x:c>
      <x:c r="N12" s="4"/>
      <x:c r="O12" s="63"/>
      <x:c r="P12" s="63"/>
      <x:c r="Q12" s="63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60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5</x:v>
      </x:c>
      <x:c r="B5" s="53"/>
      <x:c r="C5" s="53"/>
      <x:c r="D5" s="53" t="n">
        <x:f>COUNTIFS('barq'!$C$9:$C$500,"&lt;&gt;",'barq'!$I$9:$I$500,"End Date Not Stated")</x:f>
        <x:v>5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63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37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5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Cashback and Miles</x:t>
        </x:is>
      </x:c>
      <x:c r="D9" s="4" t="inlineStr">
        <x:is>
          <x:t xml:space="preserve">The offer is valid until 30 September 2026. The offer applies when paying with the following cards Mobily Pay (Platinum and Signature).</x:t>
        </x:is>
      </x:c>
      <x:c r="E9" s="5"/>
      <x:c r="F9" s="5" t="n">
        <x:v>46265.37844901162</x:v>
      </x:c>
      <x:c r="G9" s="5" t="n">
        <x:v>46295.0</x:v>
      </x:c>
      <x:c r="H9" s="7" t="n">
        <x:f t="shared" ref="H9:H42" si="1">IF(OR(C9="",G9=""),"",G9-TODAY())</x:f>
        <x:v>16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8–30 Days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https://mobilypay.sa/en/offers/offer-60.html</x:v>
      </x:c>
      <x:c r="N9" s="63" t="inlineStr">
        <x:is>
          <x:t xml:space="preserve">https://mobilypay.sa/en/offers/offer-60.html</x:t>
        </x:is>
      </x:c>
      <x:c r="O9" s="63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47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Other</x:t>
        </x:is>
      </x:c>
      <x:c r="C12" s="4" t="inlineStr">
        <x:is>
          <x:t xml:space="preserve">EARN MILES WITH ALL MOBILY PAY SERVICES</x:t>
        </x:is>
      </x:c>
      <x:c r="D12" s="4" t="inlineStr">
        <x:is>
          <x:t xml:space="preserve">Offer is valid from 1 Feb 2025 until 30 Sep 2026. Offer includes only the services specified in the Miles Earning Schedule when using Mobily Pay App</x:t>
        </x:is>
      </x:c>
      <x:c r="E12" s="5"/>
      <x:c r="F12" s="5" t="n">
        <x:v>45689.0</x:v>
      </x:c>
      <x:c r="G12" s="5" t="n">
        <x:v>46295.0</x:v>
      </x:c>
      <x:c r="H12" s="7" t="n">
        <x:f t="shared" si="1">IF(OR(C12="",G12=""),"",G12-TODAY())</x:f>
        <x:v>16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8–30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https://mobilypay.sa/en/offers/offer-7.html</x:v>
      </x:c>
      <x:c r="N12" s="4" t="inlineStr">
        <x:is>
          <x:t xml:space="preserve">https://mobilypay.sa/en/offers/offer-7.html</x:t>
        </x:is>
      </x:c>
      <x:c r="O12" s="4"/>
      <x:c r="P12" s="4"/>
      <x:c r="Q12" s="4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INTERNATIONAL TRANSFER TO PAKISTAN IS FREE</x:t>
        </x:is>
      </x:c>
      <x:c r="D13" s="4" t="inlineStr">
        <x:is>
          <x:t xml:space="preserve">Offer is valid from 8 Nov 2023 No fees are applied to international transfers to bank accounts or digital wallets in Pakistan.</x:t>
        </x:is>
      </x:c>
      <x:c r="E13" s="5"/>
      <x:c r="F13" s="5" t="n">
        <x:v>45238.0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https://mobilypay.sa/en/offers/offer-2.html</x:v>
      </x:c>
      <x:c r="N13" s="63" t="inlineStr">
        <x:is>
          <x:t xml:space="preserve">https://mobilypay.sa/en/offers/offer-2.html</x:t>
        </x:is>
      </x:c>
      <x:c r="O13" s="4"/>
      <x:c r="P13" s="63"/>
      <x:c r="Q13" s="63"/>
      <x:c r="R13" s="63"/>
      <x:c r="S13" s="4"/>
      <x:c r="T13" s="8" t="n">
        <x:v>0</x:v>
      </x:c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63"/>
      <x:c r="O14" s="63"/>
      <x:c r="P14" s="63"/>
      <x:c r="Q14" s="63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5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SADAD</x:t>
        </x:is>
      </x:c>
      <x:c r="C11" s="4" t="inlineStr">
        <x:is>
          <x:t xml:space="preserve">SADAD Daily Cashback</x:t>
        </x:is>
      </x:c>
      <x:c r="D11" s="4" t="inlineStr">
        <x:is>
          <x:t xml:space="preserve">Pay a SADAD bill for a daily chance to win SAR 1,000 cashback.</x:t>
        </x:is>
      </x:c>
      <x:c r="E11" s="5"/>
      <x:c r="F11" s="5" t="n">
        <x:v>46227.0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SADAD bill payments</x:t>
        </x:is>
      </x:c>
      <x:c r="K11" s="4" t="inlineStr">
        <x:is>
          <x:t xml:space="preserve">Daily draw for SAR 1,000 cashback</x:t>
        </x:is>
      </x:c>
      <x:c r="L11" s="4" t="inlineStr">
        <x:is>
          <x:t xml:space="preserve">tiqmo customers using SADAD</x:t>
        </x:is>
      </x:c>
      <x:c r="M11" s="9" t="str">
        <x:f t="shared" si="3">IF(C11="","",IF(N11&lt;&gt;"",N11,IF(O11&lt;&gt;"",O11,IF(P11&lt;&gt;"",P11,IF(Q11&lt;&gt;"",Q11,IF(R11&lt;&gt;"",R11,""))))))</x:f>
        <x:v>https://www.instagram.com/tiqmoksa/p/DbLZ9Yfj6dy/</x:v>
      </x:c>
      <x:c r="N11" s="4" t="inlineStr">
        <x:is>
          <x:t xml:space="preserve">https://www.instagram.com/tiqmoksa/p/DbLZ9Yfj6dy/</x:t>
        </x:is>
      </x:c>
      <x:c r="O11" s="4" t="inlineStr">
        <x:is>
          <x:t xml:space="preserve">https://www.instagram.com/tiqmoksa/p/DbLZ9Yfj6dy/</x:t>
        </x:is>
      </x:c>
      <x:c r="P11" s="63" t="inlineStr">
        <x:is>
          <x:t xml:space="preserve">https://x.com/tiqmo/status/2080654590756978954</x:t>
        </x:is>
      </x:c>
      <x:c r="Q11" s="4" t="inlineStr">
        <x:is>
          <x:t xml:space="preserve">https://www.facebook.com/Tiqmoksa/videos/sar-1000-cashback-every-daypay-your-bills-through-sadad-tiqmo-and-enter-the-dail/28285312344409396/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6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 t="n">
        <x:v>46223.66736111111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 t="inlineStr">
        <x:is>
          <x:t xml:space="preserve">https://www.instagram.com/p/DbBUcjiIHS1/</x:t>
        </x:is>
      </x:c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/>
      <x:c r="S12" s="4" t="inlineStr">
        <x:is>
          <x:t xml:space="preserve">Current official posts continue to promote Monthly Streak Rewards. The official post does not state a campaign end date.</x:t>
        </x:is>
      </x:c>
      <x:c r="T12" s="8" t="n">
        <x:v>5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108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https://tiqmo.com/en/offers</x:v>
      </x:c>
      <x:c r="N13" s="4" t="inlineStr">
        <x:is>
          <x:t xml:space="preserve">https://tiqmo.com/en/offers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https://x.com/tiqmo/status/2081409451844870239</x:t>
        </x:is>
      </x:c>
      <x:c r="Q13" s="63" t="inlineStr">
        <x:is>
          <x:t xml:space="preserve">https://www.facebook.com/Tiqmoksa/videos/1605667747644721/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8" t="n">
        <x:v>16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4</x:v>
      </x:c>
      <x:c r="B5" s="53"/>
      <x:c r="C5" s="53"/>
      <x:c r="D5" s="53" t="n">
        <x:f>COUNTIFS('alinma pay'!$C$9:$C$500,"&lt;&gt;",'alinma pay'!$I$9:$I$500,"End Date Not Stated")</x:f>
        <x:v>2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Transfers for SAR 5</x:t>
        </x:is>
      </x:c>
      <x:c r="D9" s="4" t="inlineStr">
        <x:is>
          <x:t xml:space="preserve">Flat SAR 5 transfer fee to multiple international corridors.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 through alinma pay Direct</x:t>
        </x:is>
      </x:c>
      <x:c r="K9" s="4" t="inlineStr">
        <x:is>
          <x:t xml:space="preserve">Flat SAR 5 transfer fee</x:t>
        </x:is>
      </x:c>
      <x:c r="L9" s="4" t="inlineStr">
        <x:is>
          <x:t xml:space="preserve">Transfers to listed destinations including the Philippines, Egypt, Bangladesh, Sri Lanka, Indonesia, Nepal, Jordan, and Morocco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https://www.instagram.com/alinmapay/p/CC_U-JDB6yh/</x:v>
      </x:c>
      <x:c r="N9" s="4" t="inlineStr">
        <x:is>
          <x:t xml:space="preserve">https://www.instagram.com/alinmapay/p/CC_U-JDB6yh/</x:t>
        </x:is>
      </x:c>
      <x:c r="O9" s="63" t="inlineStr">
        <x:is>
          <x:t xml:space="preserve">https://www.instagram.com/alinmapay/p/CC_U-JDB6yh/</x:t>
        </x:is>
      </x:c>
      <x:c r="P9" s="4" t="inlineStr">
        <x:is>
          <x:t xml:space="preserve">https://x.com/alinmapay/status/1978784486424035774</x:t>
        </x:is>
      </x:c>
      <x:c r="Q9" s="63" t="inlineStr">
        <x:is>
          <x:t xml:space="preserve">https://www.facebook.com/AlinmaPaySA/posts/lower-fees-easier-transfers-send-money-to-india-and-bangladesh-through-alinmapay/1606878421439989/</x:t>
        </x:is>
      </x:c>
      <x:c r="R9" s="4"/>
      <x:c r="S9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9" s="8" t="n">
        <x:v>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https://www.facebook.com/AlinmaPaySA/posts/%EF%B8%8F-fees-gonetravel-anywhere-and-use-your-alinmapay-cashback-cards-without-worryin/1619335260194305/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Musaned</x:t>
        </x:is>
      </x:c>
      <x:c r="C11" s="4" t="inlineStr">
        <x:is>
          <x:t xml:space="preserve">كاش باك 100% على رواتب عمالتك المنزلية</x:t>
        </x:is>
      </x:c>
      <x:c r="D11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1" s="5"/>
      <x:c r="F11" s="5" t="n">
        <x:v>46220.50069444445</x:v>
      </x:c>
      <x:c r="G11" s="5" t="n">
        <x:v>46384.0</x:v>
      </x:c>
      <x:c r="H11" s="7" t="n">
        <x:f t="shared" si="1">IF(OR(C11="",G11=""),"",G11-TODAY())</x:f>
        <x:v>105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/>
      <x:c r="K11" s="4" t="inlineStr">
        <x:is>
          <x:t xml:space="preserve">Three winners receive 100% cashback up to SAR 1,000</x:t>
        </x:is>
      </x:c>
      <x:c r="L11" s="4" t="inlineStr">
        <x:is>
          <x:t xml:space="preserve">alinma pay customers transferring domestic-worker salaries through Musaned</x:t>
        </x:is>
      </x:c>
      <x:c r="M11" s="9" t="str">
        <x:f t="shared" si="3">IF(C11="","",IF(N11&lt;&gt;"",N11,IF(O11&lt;&gt;"",O11,IF(P11&lt;&gt;"",P11,IF(Q11&lt;&gt;"",Q11,IF(R11&lt;&gt;"",R11,""))))))</x:f>
        <x:v>https://www.alinmapay.com.sa/Offers/Musaned-Cashback</x:v>
      </x:c>
      <x:c r="N11" s="4" t="inlineStr">
        <x:is>
          <x:t xml:space="preserve">https://www.alinmapay.com.sa/Offers/Musaned-Cashback</x:t>
        </x:is>
      </x:c>
      <x:c r="O11" s="63" t="inlineStr">
        <x:is>
          <x:t xml:space="preserve">https://www.instagram.com/alinmapay/p/DbqaY05mm9E/</x:t>
        </x:is>
      </x:c>
      <x:c r="P11" s="4" t="inlineStr">
        <x:is>
          <x:t xml:space="preserve">['https://x.com/alinmapay/status/2082127730972176680', 'https://x.com/alinmapay/status/2085018248685232195']</x:t>
        </x:is>
      </x:c>
      <x:c r="Q11" s="63" t="inlineStr">
        <x:is>
          <x:t xml:space="preserve">https://m.facebook.com/AlinmaPaySA/posts/pfbid02qzFxmfE6Ajm5LhhKy4EVeNqAVycQERoEyiAKqjyHfBhKQ13AdTQGqE9Wcrs39Fucl</x:t>
        </x:is>
      </x:c>
      <x:c r="R11" s="4"/>
      <x:c r="S11" s="4"/>
      <x:c r="T11" s="8" t="n">
        <x:v>7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عرض الهند على رسوم التحويلات الدولية</x:t>
        </x:is>
      </x:c>
      <x:c r="D12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12" s="5"/>
      <x:c r="F12" s="5" t="n">
        <x:v>46068.0</x:v>
      </x:c>
      <x:c r="G12" s="5" t="n">
        <x:v>46387.0</x:v>
      </x:c>
      <x:c r="H12" s="7" t="n">
        <x:f t="shared" si="1">IF(OR(C12="",G12=""),"",G12-TODAY())</x:f>
        <x:v>108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/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https://www.alinmapay.com.sa/Offers/India-Transfer-Fee-Offer-Aug26</x:v>
      </x:c>
      <x:c r="N12" s="4" t="inlineStr">
        <x:is>
          <x:t xml:space="preserve">https://www.alinmapay.com.sa/Offers/India-Transfer-Fee-Offer-Aug26</x:t>
        </x:is>
      </x:c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 t="inlineStr">
        <x:is>
          <x:t xml:space="preserve">https://www.tiktok.com/@alinmapay/video/7586667265882443024</x:t>
        </x:is>
      </x:c>
      <x:c r="S12" s="4"/>
      <x:c r="T12" s="8" t="n">
        <x:v>2</x:v>
      </x:c>
      <x:c r="U12" s="35" t="inlineStr">
        <x:is>
          <x:t xml:space="preserve">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/>
      </x:c>
      <x:c r="B14" s="4"/>
      <x:c r="C14" s="4"/>
      <x:c r="D14" s="4"/>
      <x:c r="E14" s="5"/>
      <x:c r="F14" s="5"/>
      <x:c r="G14" s="5"/>
      <x:c r="H14" s="7">
        <x:f t="shared" si="1"/>
      </x:c>
      <x:c r="I14" s="6">
        <x:f t="shared" si="2"/>
      </x:c>
      <x:c r="J14" s="4"/>
      <x:c r="K14" s="4"/>
      <x:c r="L14" s="4"/>
      <x:c r="M14" s="9">
        <x:f t="shared" si="3"/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