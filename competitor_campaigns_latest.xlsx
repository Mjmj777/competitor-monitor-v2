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<x:sst xmlns:x="http://schemas.openxmlformats.org/spreadsheetml/2006/main">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</x:sst>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3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6</c:v>
                </c:pt>
                <c:pt idx="4">
                  <c:v>3</c:v>
                </c:pt>
                <c:pt idx="5">
                  <c:v>2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37</c:v>
                </c:pt>
                <c:pt idx="1">
                  <c:v>14</c:v>
                </c:pt>
                <c:pt idx="2">
                  <c:v>17</c:v>
                </c:pt>
                <c:pt idx="3">
                  <c:v>12</c:v>
                </c:pt>
                <c:pt idx="4">
                  <c:v>14</c:v>
                </c:pt>
                <c:pt idx="5">
                  <c:v>10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71</c:v>
                </c:pt>
                <c:pt idx="1">
                  <c:v>56</c:v>
                </c:pt>
                <c:pt idx="2">
                  <c:v>0</c:v>
                </c:pt>
                <c:pt idx="3">
                  <c:v>11</c:v>
                </c:pt>
                <c:pt idx="4">
                  <c:v>30</c:v>
                </c:pt>
                <c:pt idx="5">
                  <c:v>17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69</c:v>
                </c:pt>
                <c:pt idx="1">
                  <c:v>15</c:v>
                </c:pt>
                <c:pt idx="2">
                  <c:v>20</c:v>
                </c:pt>
                <c:pt idx="3">
                  <c:v>12</c:v>
                </c:pt>
                <c:pt idx="4">
                  <c:v>4</c:v>
                </c:pt>
                <c:pt idx="5">
                  <c:v>8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14</c:v>
                </c:pt>
                <c:pt idx="1">
                  <c:v>14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3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46290.29426330166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46290.29502676956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6</x:v>
      </x:c>
    </x:row>
    <x:row r="6" ht="19" customHeight="1">
      <x:c r="A6" s="251" t="n">
        <x:f>SUM($Y$2:$Y$7)</x:f>
        <x:v>25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453</x:v>
      </x:c>
      <x:c r="H6" s="286"/>
      <x:c r="I6" s="211"/>
      <x:c r="J6" s="251" t="n">
        <x:f>$AE$12</x:f>
        <x:v>5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2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37</x:v>
      </x:c>
      <x:c r="Z12" s="289" t="n">
        <x:v>71</x:v>
      </x:c>
      <x:c r="AA12" s="289" t="n">
        <x:v>69</x:v>
      </x:c>
      <x:c r="AB12" s="289" t="n">
        <x:v>14</x:v>
      </x:c>
      <x:c r="AD12" s="289" t="inlineStr">
        <x:is>
          <x:t xml:space="preserve">Expiring ≤30 Days</x:t>
        </x:is>
      </x:c>
      <x:c r="AE12" s="289" t="n">
        <x:v>5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14</x:v>
      </x:c>
      <x:c r="Z13" s="289" t="n">
        <x:v>56</x:v>
      </x:c>
      <x:c r="AA13" s="289" t="n">
        <x:v>15</x:v>
      </x:c>
      <x:c r="AB13" s="289" t="n">
        <x:v>14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17</x:v>
      </x:c>
      <x:c r="Z14" s="289" t="n">
        <x:v>0</x:v>
      </x:c>
      <x:c r="AA14" s="289" t="n">
        <x:v>20</x:v>
      </x:c>
      <x:c r="AB14" s="289" t="n">
        <x:v>3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12</x:v>
      </x:c>
      <x:c r="Z15" s="289" t="n">
        <x:v>11</x:v>
      </x:c>
      <x:c r="AA15" s="289" t="n">
        <x:v>12</x:v>
      </x:c>
      <x:c r="AB15" s="289" t="n">
        <x:v>2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14</x:v>
      </x:c>
      <x:c r="Z16" s="289" t="n">
        <x:v>30</x:v>
      </x:c>
      <x:c r="AA16" s="289" t="n">
        <x:v>4</x:v>
      </x:c>
      <x:c r="AB16" s="289" t="n">
        <x:v>1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10</x:v>
      </x:c>
      <x:c r="Z17" s="289" t="n">
        <x:v>17</x:v>
      </x:c>
      <x:c r="AA17" s="289" t="n">
        <x:v>8</x:v>
      </x:c>
      <x:c r="AB17" s="289" t="n">
        <x:v>2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32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3</x:v>
      </x:c>
      <x:c r="B5" s="53"/>
      <x:c r="C5" s="53"/>
      <x:c r="D5" s="53" t="n">
        <x:f>COUNTIFS('STC Bank'!$C$9:$C$500,"&lt;&gt;",'STC Bank'!$I$9:$I$500,"End Date Not Stated")</x:f>
        <x:v>0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3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46293.0</x:v>
      </x:c>
      <x:c r="H9" s="7" t="n">
        <x:f t="shared" ref="H9:H53" si="1">IF(OR(C9="",G9=""),"",G9-TODAY())</x:f>
        <x:v>3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35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7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≤7 Days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/>
      <x:c r="F11" s="5" t="n">
        <x:v>46132.45142361111</x:v>
      </x:c>
      <x:c r="G11" s="5" t="n">
        <x:v>46293.0</x:v>
      </x:c>
      <x:c r="H11" s="7" t="n">
        <x:f t="shared" si="1">IF(OR(C11="",G11=""),"",G11-TODAY())</x:f>
        <x:v>3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≤7 Days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https://www.instagram.com/reel/DWots29j8fx/?hl=en</x:v>
      </x:c>
      <x:c r="N11" s="63" t="inlineStr">
        <x:is>
          <x:t xml:space="preserve">https://www.instagram.com/reel/DWots29j8fx/?hl=en</x:t>
        </x:is>
      </x:c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/>
      <x:c r="T11" s="8" t="n">
        <x:v>10</x:v>
      </x:c>
      <x:c r="U11" s="35" t="inlineStr">
        <x:is>
          <x:t xml:space="preserve">Instagram, X, Facebook, TikTok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Cashback and Miles</x:t>
        </x:is>
      </x:c>
      <x:c r="D9" s="4" t="inlineStr">
        <x:is>
          <x:t xml:space="preserve">The offer is valid until 30 September 2026. The offer applies when paying with the following cards Mobily Pay (Platinum and Signature).</x:t>
        </x:is>
      </x:c>
      <x:c r="E9" s="5"/>
      <x:c r="F9" s="5" t="n">
        <x:v>46265.37844901162</x:v>
      </x:c>
      <x:c r="G9" s="5" t="n">
        <x:v>46295.0</x:v>
      </x:c>
      <x:c r="H9" s="7" t="n">
        <x:f t="shared" ref="H9:H42" si="1">IF(OR(C9="",G9=""),"",G9-TODAY())</x:f>
        <x:v>5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https://mobilypay.sa/en/offers/offer-60.html</x:v>
      </x:c>
      <x:c r="N9" s="63" t="inlineStr">
        <x:is>
          <x:t xml:space="preserve">https://mobilypay.sa/en/offers/offer-60.html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36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30 Sep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46295.0</x:v>
      </x:c>
      <x:c r="H12" s="7" t="n">
        <x:f t="shared" si="1">IF(OR(C12="",G12=""),"",G12-TODAY())</x:f>
        <x:v>5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≤7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 t="inlineStr">
        <x:is>
          <x:t xml:space="preserve">https://m.facebook.com/mobilypay/posts/pfbid0GWrj6drx2V2e6HdVw9hrRjBmGCZVD5emPrFueMyDERit7HWbDdAiJv6fyrbwgP2rl</x:t>
        </x:is>
      </x:c>
      <x:c r="R13" s="63"/>
      <x:c r="S13" s="4"/>
      <x:c r="T13" s="8" t="n">
        <x:v>1</x:v>
      </x:c>
      <x:c r="U13" s="35" t="inlineStr">
        <x:is>
          <x:t xml:space="preserve">Facebook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5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97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19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29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94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7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97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