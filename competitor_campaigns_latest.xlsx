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<x:sst xmlns:x="http://schemas.openxmlformats.org/spreadsheetml/2006/main">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</x:sst>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32</c:v>
                </c:pt>
                <c:pt idx="1">
                  <c:v>12</c:v>
                </c:pt>
                <c:pt idx="2">
                  <c:v>20</c:v>
                </c:pt>
                <c:pt idx="3">
                  <c:v>11</c:v>
                </c:pt>
                <c:pt idx="4">
                  <c:v>12</c:v>
                </c:pt>
                <c:pt idx="5">
                  <c:v>9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64</c:v>
                </c:pt>
                <c:pt idx="1">
                  <c:v>45</c:v>
                </c:pt>
                <c:pt idx="2">
                  <c:v>6</c:v>
                </c:pt>
                <c:pt idx="3">
                  <c:v>11</c:v>
                </c:pt>
                <c:pt idx="4">
                  <c:v>25</c:v>
                </c:pt>
                <c:pt idx="5">
                  <c:v>12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14</c:v>
                </c:pt>
                <c:pt idx="2">
                  <c:v>24</c:v>
                </c:pt>
                <c:pt idx="3">
                  <c:v>12</c:v>
                </c:pt>
                <c:pt idx="4">
                  <c:v>4</c:v>
                </c:pt>
                <c:pt idx="5">
                  <c:v>6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14</c:v>
                </c:pt>
                <c:pt idx="1">
                  <c:v>16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46287.24161817978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46287.24545733947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415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32</x:v>
      </x:c>
      <x:c r="Z12" s="289" t="n">
        <x:v>64</x:v>
      </x:c>
      <x:c r="AA12" s="289" t="n">
        <x:v>59</x:v>
      </x:c>
      <x:c r="AB12" s="289" t="n">
        <x:v>14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12</x:v>
      </x:c>
      <x:c r="Z13" s="289" t="n">
        <x:v>45</x:v>
      </x:c>
      <x:c r="AA13" s="289" t="n">
        <x:v>14</x:v>
      </x:c>
      <x:c r="AB13" s="289" t="n">
        <x:v>16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6</x:v>
      </x:c>
      <x:c r="AA14" s="289" t="n">
        <x:v>24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11</x:v>
      </x:c>
      <x:c r="AA15" s="289" t="n">
        <x:v>12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25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9</x:v>
      </x:c>
      <x:c r="Z17" s="289" t="n">
        <x:v>12</x:v>
      </x:c>
      <x:c r="AA17" s="289" t="n">
        <x:v>6</x:v>
      </x:c>
      <x:c r="AB17" s="289" t="n">
        <x:v>3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8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8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Weekly International Transfer Prizes – Up to SAR 20,000</x:t>
        </x:is>
      </x:c>
      <x:c r="D9" s="4" t="inlineStr">
        <x:is>
          <x:t xml:space="preserve">International transfers generate entries for weekly prizes of up to SAR 20,000.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Weekly prizes up to SAR 20,000; no minimum transfer stated in the post</x:t>
        </x:is>
      </x:c>
      <x:c r="L9" s="4" t="inlineStr">
        <x:is>
          <x:t xml:space="preserve">Mobily Pay international-transfer customers</x:t>
        </x:is>
      </x:c>
      <x:c r="M9" s="9" t="str">
        <x:f t="shared" ref="M9:M42" si="3">IF(C9="","",IF(N9&lt;&gt;"",N9,IF(O9&lt;&gt;"",O9,IF(P9&lt;&gt;"",P9,IF(Q9&lt;&gt;"",Q9,IF(R9&lt;&gt;"",R9,""))))))</x:f>
        <x:v>https://www.facebook.com/mobilypay/videos/sar-20000-is-waiting-for-you-make-an-international-transfer-with-mobilypay-and-i/4300117560266135/</x:v>
      </x:c>
      <x:c r="N9" s="63" t="inlineStr">
        <x:is>
          <x:t xml:space="preserve">https://www.facebook.com/mobilypay/videos/sar-20000-is-waiting-for-you-make-an-international-transfer-with-mobilypay-and-i/4300117560266135/</x:t>
        </x:is>
      </x:c>
      <x:c r="O9" s="63"/>
      <x:c r="P9" s="63"/>
      <x:c r="Q9" s="63" t="inlineStr">
        <x:is>
          <x:t xml:space="preserve">https://www.facebook.com/mobilypay/videos/sar-20000-is-waiting-for-you-make-an-international-transfer-with-mobilypay-and-i/4300117560266135/</x:t>
        </x:is>
      </x:c>
      <x:c r="R9" s="4"/>
      <x:c r="S9" s="4" t="inlineStr">
        <x:is>
          <x:t xml:space="preserve">Campaign end date is not stated in the official video.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39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https://mobilypay.sa/en/offers/offer-56.html</x:v>
      </x:c>
      <x:c r="N10" s="4" t="inlineStr">
        <x:is>
          <x:t xml:space="preserve">https://mobilypay.sa/en/offers/offer-56.html</x:t>
        </x:is>
      </x:c>
      <x:c r="O10" s="63" t="inlineStr">
        <x:is>
          <x:t xml:space="preserve">https://www.instagram.com/reel/DZuhOEDFRNn/</x:t>
        </x:is>
      </x:c>
      <x:c r="P10" s="4"/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Other</x:t>
        </x:is>
      </x:c>
      <x:c r="C11" s="4" t="inlineStr">
        <x:is>
          <x:t xml:space="preserve">EARN MILES WITH ALL MOBILY PAY SERVICES</x:t>
        </x:is>
      </x:c>
      <x:c r="D11" s="4" t="inlineStr">
        <x:is>
          <x:t xml:space="preserve">Offer is valid from 1 Feb 2025 until 30 Sep 2026. Offer includes only the services specified in the Miles Earning Schedule when using Mobily Pay App</x:t>
        </x:is>
      </x:c>
      <x:c r="E11" s="5"/>
      <x:c r="F11" s="5" t="n">
        <x:v>45689.0</x:v>
      </x:c>
      <x:c r="G11" s="5" t="n">
        <x:v>46295.0</x:v>
      </x:c>
      <x:c r="H11" s="7" t="n">
        <x:f t="shared" si="1">IF(OR(C11="",G11=""),"",G11-TODAY())</x:f>
        <x:v>8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https://mobilypay.sa/en/offers/offer-7.html</x:v>
      </x:c>
      <x:c r="N11" s="4" t="inlineStr">
        <x:is>
          <x:t xml:space="preserve">https://mobilypay.sa/en/offers/offer-7.html</x:t>
        </x:is>
      </x:c>
      <x:c r="O11" s="4"/>
      <x:c r="P11" s="4"/>
      <x:c r="Q11" s="63"/>
      <x:c r="R11" s="4"/>
      <x:c r="S11" s="4"/>
      <x:c r="T11" s="8" t="n">
        <x:v>0</x:v>
      </x:c>
      <x:c r="U11" s="35"/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