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<x:sst xmlns:x="http://schemas.openxmlformats.org/spreadsheetml/2006/main">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</x:sst>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عرض برق × Gunaydin</x:t>
        </x:is>
      </x:c>
      <x:c r="D15"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15" s="5"/>
      <x:c r="F15" s="5" t="n">
        <x:v>46204.0</x:v>
      </x:c>
      <x:c r="G15" s="5" t="n">
        <x:v>46723.0</x:v>
      </x:c>
      <x:c r="H15" s="7" t="str">
        <x:f t="shared" si="1"/>
      </x:c>
      <x:c r="I15" s="6" t="str">
        <x:f t="shared" si="2"/>
      </x:c>
      <x:c r="J15" s="4"/>
      <x:c r="K15" s="4"/>
      <x:c r="L15" s="4"/>
      <x:c r="M15" s="9" t="str">
        <x:f t="shared" si="4"/>
      </x:c>
      <x:c r="N15" s="4" t="inlineStr">
        <x:is>
          <x:t xml:space="preserve">https://barq.com/ar/offers/%d8%b9%d8%b1%d8%b6-%d8%a8%d8%b1%d9%82-x-gunaydin/</x:t>
        </x:is>
      </x:c>
      <x:c r="O15" s="4"/>
      <x:c r="P15" s="4"/>
      <x:c r="Q15" s="4"/>
      <x:c r="R15" s="4"/>
      <x:c r="S15" s="4"/>
      <x:c r="T15" s="5" t="n">
        <x:v>46259.875649202964</x:v>
      </x:c>
      <x:c r="U15" s="35" t="str">
        <x:f t="shared" si="3"/>
      </x:c>
    </x:row>
    <x:row r="16" ht="46.650001525878906" customHeight="1">
      <x:c r="A16" s="8" t="str">
        <x:f t="shared" si="0"/>
      </x:c>
      <x:c r="B16" s="4" t="inlineStr">
        <x:is>
          <x:t xml:space="preserve">Merchant</x:t>
        </x:is>
      </x:c>
      <x:c r="C16" s="4" t="inlineStr">
        <x:is>
          <x:t xml:space="preserve">عرض برق × Meat Moot</x:t>
        </x:is>
      </x:c>
      <x:c r="D16"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16" s="5"/>
      <x:c r="F16" s="5" t="n">
        <x:v>46204.0</x:v>
      </x:c>
      <x:c r="G16" s="5" t="n">
        <x:v>46126.0</x:v>
      </x:c>
      <x:c r="H16" s="7" t="str">
        <x:f t="shared" si="1"/>
      </x:c>
      <x:c r="I16" s="6" t="str">
        <x:f t="shared" si="2"/>
      </x:c>
      <x:c r="J16" s="4"/>
      <x:c r="K16" s="4"/>
      <x:c r="L16" s="4"/>
      <x:c r="M16" s="9" t="str">
        <x:f t="shared" si="4"/>
      </x:c>
      <x:c r="N16" s="4" t="inlineStr">
        <x:is>
          <x:t xml:space="preserve">https://barq.com/ar/offers/%d8%b9%d8%b1%d8%b6-%d8%a8%d8%b1%d9%82-x-meat-moot/</x:t>
        </x:is>
      </x:c>
      <x:c r="O16" s="4"/>
      <x:c r="P16" s="4"/>
      <x:c r="Q16" s="4"/>
      <x:c r="R16" s="4"/>
      <x:c r="S16" s="4"/>
      <x:c r="T16" s="5" t="n">
        <x:v>46259.875649202964</x:v>
      </x:c>
      <x:c r="U16" s="35" t="str">
        <x:f t="shared" si="3"/>
      </x:c>
    </x:row>
    <x:row r="17" ht="46.650001525878906" customHeight="1">
      <x:c r="A17" s="8" t="str">
        <x:f t="shared" si="0"/>
      </x:c>
      <x:c r="B17" s="4" t="inlineStr">
        <x:is>
          <x:t xml:space="preserve">Merchant</x:t>
        </x:is>
      </x:c>
      <x:c r="C17" s="4" t="inlineStr">
        <x:is>
          <x:t xml:space="preserve">عرض برق × Taleed by Michael Mina Bab Samhan (Diriyah)</x:t>
        </x:is>
      </x:c>
      <x:c r="D17"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17" s="5"/>
      <x:c r="F17" s="5" t="n">
        <x:v>46204.0</x:v>
      </x:c>
      <x:c r="G17" s="5" t="n">
        <x:v>46454.0</x:v>
      </x:c>
      <x:c r="H17" s="7" t="str">
        <x:f t="shared" si="1"/>
      </x:c>
      <x:c r="I17" s="6" t="str">
        <x:f t="shared" si="2"/>
      </x:c>
      <x:c r="J17" s="4"/>
      <x:c r="K17" s="4"/>
      <x:c r="L17" s="4"/>
      <x:c r="M17" s="9" t="str">
        <x:f t="shared" si="4"/>
      </x:c>
      <x:c r="N17" s="4" t="inlineStr">
        <x:is>
          <x:t xml:space="preserve">https://barq.com/ar/offers/%d8%b9%d8%b1%d8%b6-%d8%a8%d8%b1%d9%82-x-taleed-by-michael-mina-bab-samhan-diriyah/</x:t>
        </x:is>
      </x:c>
      <x:c r="O17" s="4"/>
      <x:c r="P17" s="4"/>
      <x:c r="Q17" s="4"/>
      <x:c r="R17" s="4"/>
      <x:c r="S17" s="4"/>
      <x:c r="T17" s="5" t="n">
        <x:v>46259.875649202964</x:v>
      </x:c>
      <x:c r="U17" s="35" t="str">
        <x:f t="shared" si="3"/>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4"/>
      </x:c>
      <x:c r="N18" s="4"/>
      <x:c r="O18" s="4"/>
      <x:c r="P18" s="4"/>
      <x:c r="Q18" s="4"/>
      <x:c r="R18" s="4"/>
      <x:c r="S18" s="4"/>
      <x:c r="T18" s="5"/>
      <x:c r="U18" s="35" t="str">
        <x:f t="shared" si="3"/>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4"/>
      </x:c>
      <x:c r="N19" s="4"/>
      <x:c r="O19" s="4"/>
      <x:c r="P19" s="4"/>
      <x:c r="Q19" s="4"/>
      <x:c r="R19" s="4"/>
      <x:c r="S19" s="4"/>
      <x:c r="T19" s="5"/>
      <x:c r="U19" s="35" t="str">
        <x:f t="shared" si="3"/>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4"/>
      </x:c>
      <x:c r="N20" s="4"/>
      <x:c r="O20" s="4"/>
      <x:c r="P20" s="4"/>
      <x:c r="Q20" s="4"/>
      <x:c r="R20" s="4"/>
      <x:c r="S20" s="4"/>
      <x:c r="T20" s="5"/>
      <x:c r="U20" s="35" t="str">
        <x:f t="shared" si="3"/>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4"/>
      </x:c>
      <x:c r="N21" s="4"/>
      <x:c r="O21" s="4"/>
      <x:c r="P21" s="4"/>
      <x:c r="Q21" s="4"/>
      <x:c r="R21" s="4"/>
      <x:c r="S21" s="4"/>
      <x:c r="T21" s="5"/>
      <x:c r="U21" s="35" t="str">
        <x:f t="shared" si="3"/>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4"/>
      </x:c>
      <x:c r="N22" s="4"/>
      <x:c r="O22" s="4"/>
      <x:c r="P22" s="4"/>
      <x:c r="Q22" s="4"/>
      <x:c r="R22" s="4"/>
      <x:c r="S22" s="4"/>
      <x:c r="T22" s="5"/>
      <x:c r="U22" s="35" t="str">
        <x:f t="shared" si="3"/>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4"/>
      </x:c>
      <x:c r="N23" s="4"/>
      <x:c r="O23" s="4"/>
      <x:c r="P23" s="4"/>
      <x:c r="Q23" s="4"/>
      <x:c r="R23" s="4"/>
      <x:c r="S23" s="4"/>
      <x:c r="T23" s="5"/>
      <x:c r="U23" s="35" t="str">
        <x:f t="shared" si="3"/>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4"/>
      </x:c>
      <x:c r="N24" s="4"/>
      <x:c r="O24" s="4"/>
      <x:c r="P24" s="4"/>
      <x:c r="Q24" s="4"/>
      <x:c r="R24" s="4"/>
      <x:c r="S24" s="4"/>
      <x:c r="T24" s="5"/>
      <x:c r="U24" s="35" t="str">
        <x:f t="shared" si="3"/>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https://mobilypay.sa/ar/offers/offer-56.html</x:t>
        </x:is>
      </x:c>
      <x:c r="O10" s="63" t="inlineStr">
        <x:is>
          <x:t xml:space="preserve">https://www.instagram.com/reel/DZuhOEDFRNn/</x:t>
        </x:is>
      </x:c>
      <x:c r="P10" s="4"/>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https://mobilypay.sa/ar/offers/offer-6.html</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t="inlineStr">
        <x:is>
          <x:t xml:space="preserve">Engagement</x:t>
        </x:is>
      </x:c>
      <x:c r="C15" s="4" t="inlineStr">
        <x:is>
          <x:t xml:space="preserve">10 Ø±ÙØ§Ù Ø³Ø¹ÙØ¯Ù ÙØ§Ø´ Ø¨Ø§Ù</x:t>
        </x:is>
      </x:c>
      <x:c r="D15" s="4" t="inlineStr">
        <x:is>
          <x:t xml:space="preserve">Ø§ÙØ¹Ø±Ø¶ Ø³Ø§Ø±Ù Ù Ù ØªØ§Ø±ÙØ® 5 ÙÙØ§ÙØ± Ø­ØªÙ 30 Ø£ØºØ³Ø·Ø³ 2026. Ø´Ø§Ø±Ù Ø§ÙÙÙØ¯ Ø§ÙØ®Ø§Øµ Ø¨Ù Ù Ø¹ Ø£ØµØ¯ÙØ§Ø¦Ù ÙØ§Ø­ØµÙ Ø¹ÙÙ 5 Ø±ÙØ§Ù ÙØ§Ø´ Ø¨Ø§Ù ÙØ³ÙØ­ØµÙ ØµØ¯ÙÙÙ Ø¹ÙÙ 5 Ø±ÙØ§Ù ÙØ§Ø´ Ø¨Ø§Ù.</x:t>
        </x:is>
      </x:c>
      <x:c r="E15" s="5"/>
      <x:c r="F15" s="5"/>
      <x:c r="G15" s="5"/>
      <x:c r="H15" s="7" t="str">
        <x:f t="shared" si="1"/>
      </x:c>
      <x:c r="I15" s="6" t="str">
        <x:f t="shared" si="2"/>
      </x:c>
      <x:c r="J15" s="4"/>
      <x:c r="K15" s="4"/>
      <x:c r="L15" s="4"/>
      <x:c r="M15" s="9" t="str">
        <x:f t="shared" si="3"/>
      </x:c>
      <x:c r="N15" s="4" t="inlineStr">
        <x:is>
          <x:t xml:space="preserve">https://mobilypay.sa/ar/offers/offer-26.html</x:t>
        </x:is>
      </x:c>
      <x:c r="O15" s="4"/>
      <x:c r="P15" s="4"/>
      <x:c r="Q15" s="4"/>
      <x:c r="R15" s="4"/>
      <x:c r="S15" s="4"/>
      <x:c r="T15" s="5" t="n">
        <x:v>46259.656174372314</x:v>
      </x:c>
      <x:c r="U15" s="35" t="str">
        <x:f t="shared" si="4"/>
      </x:c>
    </x:row>
    <x:row r="16" ht="46.650001525878906" customHeight="1">
      <x:c r="A16" s="8" t="str">
        <x:f t="shared" si="0"/>
      </x:c>
      <x:c r="B16" s="4" t="inlineStr">
        <x:is>
          <x:t xml:space="preserve">Merchant</x:t>
        </x:is>
      </x:c>
      <x:c r="C16" s="4" t="inlineStr">
        <x:is>
          <x:t xml:space="preserve">Suave home spa</x:t>
        </x:is>
      </x:c>
      <x:c r="D16" s="4" t="inlineStr">
        <x:is>
          <x:t xml:space="preserve">ÙØ³Ø±Ù Ø§ÙØ¹Ø±Ø¶ Ù Ù 15 Ø£ÙØªÙØ¨Ø± 2024 Ø­ØªÙ 13 Ø£ÙØªÙØ¨Ø± 2026. Ø®ØµÙ 20% Ø¹ÙÙ Ø¬Ù ÙØ¹ Ø§ÙØ®Ø¯Ù Ø§Øª.</x:t>
        </x:is>
      </x:c>
      <x:c r="E16" s="5"/>
      <x:c r="F16" s="5"/>
      <x:c r="G16" s="5"/>
      <x:c r="H16" s="7" t="str">
        <x:f t="shared" si="1"/>
      </x:c>
      <x:c r="I16" s="6" t="str">
        <x:f t="shared" si="2"/>
      </x:c>
      <x:c r="J16" s="4"/>
      <x:c r="K16" s="4"/>
      <x:c r="L16" s="4"/>
      <x:c r="M16" s="9" t="str">
        <x:f t="shared" si="3"/>
      </x:c>
      <x:c r="N16" s="4" t="inlineStr">
        <x:is>
          <x:t xml:space="preserve">https://mobilypay.sa/ar/offers/offer-5.html</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Ø£ÙØ´Ù Ø³Ø¨Ø§</x:t>
        </x:is>
      </x:c>
      <x:c r="D17" s="4" t="inlineStr">
        <x:is>
          <x:t xml:space="preserve">ÙØ³Ø±Ù Ø§ÙØ¹Ø±Ø¶ Ù Ù 20 Ù Ø§ÙÙ 2025 Ø­ØªÙ 30 ÙÙÙÙ Ø¨Ø± 2026. Ø®ØµÙ 20% Ø¹ÙÙ Ø¬Ù ÙØ¹ Ø§ÙØ®Ø¯Ù Ø§Øª Ø¨Ø¯ÙÙ Ø­Ø¯ Ø§Ø¯ÙÙ.</x:t>
        </x:is>
      </x:c>
      <x:c r="E17" s="5"/>
      <x:c r="F17" s="5"/>
      <x:c r="G17" s="5"/>
      <x:c r="H17" s="7" t="str">
        <x:f t="shared" si="1"/>
      </x:c>
      <x:c r="I17" s="6" t="str">
        <x:f t="shared" si="2"/>
      </x:c>
      <x:c r="J17" s="4"/>
      <x:c r="K17" s="4"/>
      <x:c r="L17" s="4"/>
      <x:c r="M17" s="9" t="str">
        <x:f t="shared" si="3"/>
      </x:c>
      <x:c r="N17" s="4" t="inlineStr">
        <x:is>
          <x:t xml:space="preserve">https://mobilypay.sa/ar/offers/offer-4.html</x:t>
        </x:is>
      </x:c>
      <x:c r="O17" s="4"/>
      <x:c r="P17" s="4"/>
      <x:c r="Q17" s="4"/>
      <x:c r="R17" s="4"/>
      <x:c r="S17" s="4"/>
      <x:c r="T17" s="5" t="n">
        <x:v>46259.656174372314</x:v>
      </x:c>
      <x:c r="U17" s="35" t="str">
        <x:f t="shared" si="4"/>
      </x:c>
    </x:row>
    <x:row r="18" ht="46.650001525878906" customHeight="1">
      <x:c r="A18" s="8" t="str">
        <x:f t="shared" si="0"/>
      </x:c>
      <x:c r="B18" s="4" t="inlineStr">
        <x:is>
          <x:t xml:space="preserve">Other</x:t>
        </x:is>
      </x:c>
      <x:c r="C18" s="4" t="inlineStr">
        <x:is>
          <x:t xml:space="preserve">Ø§ÙØ³Ø¨ Ø£Ù ÙØ§Ù Ù Ø¹ Ø¬Ù ÙØ¹ Ø®Ø¯Ù Ø§Øª Mobily Pay</x:t>
        </x:is>
      </x:c>
      <x:c r="D18" s="4" t="inlineStr">
        <x:is>
          <x:t xml:space="preserve">Ø§ÙØ¹Ø±Ø¶ Ø³Ø§Ø±Ù Ù Ù 1 ÙØ¨Ø±Ø§ÙØ± 2025 Ø­ØªÙ 30 Ø³Ø¨ØªÙ Ø¨Ø± 2026. Ø§ÙØ¹Ø±Ø¶ ÙØ´Ù Ù Ø§ÙØ®Ø¯Ù Ø§Øª Ø§ÙÙ Ø­Ø¯Ø¯Ø© ÙÙ Ø¬Ø¯ÙÙ Ø§ÙØªØ³Ø§Ø¨ Ø§ÙØ£Ù ÙØ§Ù Ø¨Ø§Ø³ØªØ®Ø¯Ø§Ù ØªØ·Ø¨ÙÙ Mobily Pay</x:t>
        </x:is>
      </x:c>
      <x:c r="E18" s="5"/>
      <x:c r="F18" s="5"/>
      <x:c r="G18" s="5"/>
      <x:c r="H18" s="7" t="str">
        <x:f t="shared" si="1"/>
      </x:c>
      <x:c r="I18" s="6" t="str">
        <x:f t="shared" si="2"/>
      </x:c>
      <x:c r="J18" s="4"/>
      <x:c r="K18" s="4"/>
      <x:c r="L18" s="4"/>
      <x:c r="M18" s="9" t="str">
        <x:f t="shared" si="3"/>
      </x:c>
      <x:c r="N18" s="4" t="inlineStr">
        <x:is>
          <x:t xml:space="preserve">https://mobilypay.sa/ar/offers/offer-7.html</x:t>
        </x:is>
      </x:c>
      <x:c r="O18" s="4"/>
      <x:c r="P18" s="4"/>
      <x:c r="Q18" s="4"/>
      <x:c r="R18" s="4"/>
      <x:c r="S18" s="4"/>
      <x:c r="T18" s="5" t="n">
        <x:v>46259.656174372314</x:v>
      </x:c>
      <x:c r="U18" s="35" t="str">
        <x:f t="shared" si="4"/>
      </x:c>
    </x:row>
    <x:row r="19" ht="46.650001525878906" customHeight="1">
      <x:c r="A19" s="8" t="str">
        <x:f t="shared" si="0"/>
      </x:c>
      <x:c r="B19" s="4" t="inlineStr">
        <x:is>
          <x:t xml:space="preserve">Merchant</x:t>
        </x:is>
      </x:c>
      <x:c r="C19" s="4" t="inlineStr">
        <x:is>
          <x:t xml:space="preserve">Ø§ÙØ²ÙØ±Ø© Ø§ÙØ¹ØµØ±ÙØ©</x:t>
        </x:is>
      </x:c>
      <x:c r="D19" s="4" t="inlineStr">
        <x:is>
          <x:t xml:space="preserve">ÙØ³Ø±Ù Ø§ÙØ¹Ø±Ø¶ Ù Ù 14 Ø£ÙØªÙØ¨Ø±2025 Ø­ØªÙ 30 Ø¯ÙØ³Ù Ø¨Ø± 2026 Ø®ØµÙ 15% Ø¹ÙÙ Ø¬Ù ÙØ¹ Ø§ÙÙ ÙØªØ¬Ø§Øª Ø¨Ø¯ÙÙ Ø­Ø¯ Ø£Ø¯ÙÙ Ø¹ÙÙ ÙÙÙ Ø© Ø§ÙÙØ§ØªÙØ±Ø©.</x:t>
        </x:is>
      </x:c>
      <x:c r="E19" s="5"/>
      <x:c r="F19" s="5"/>
      <x:c r="G19" s="5"/>
      <x:c r="H19" s="7" t="str">
        <x:f t="shared" si="1"/>
      </x:c>
      <x:c r="I19" s="6" t="str">
        <x:f t="shared" si="2"/>
      </x:c>
      <x:c r="J19" s="4"/>
      <x:c r="K19" s="4"/>
      <x:c r="L19" s="4"/>
      <x:c r="M19" s="9" t="str">
        <x:f t="shared" si="3"/>
      </x:c>
      <x:c r="N19" s="4" t="inlineStr">
        <x:is>
          <x:t xml:space="preserve">https://mobilypay.sa/ar/offers/offer-17.html</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Ø¨Ø§ÙÙØª ÙÙ Ù Ø¬Ø§Ù Ø§ÙØªØºØ°ÙØ© Ø§ÙØµØ­ÙØ©</x:t>
        </x:is>
      </x:c>
      <x:c r="D20" s="4" t="inlineStr">
        <x:is>
          <x:t xml:space="preserve">ÙØ³Ø±Ù Ø§ÙØ¹Ø±Ø¶ Ù Ù 19 Ø£Ø¨Ø±ÙÙ Ø­ØªÙ 31 Ø¯ÙØ³Ù Ø¨Ø± 2026 . Ø®ØµÙ %35 Ø¹ÙÙ Ø¬Ù ÙØ¹ Ø§ÙØ¨Ø§ÙØ§Øª Ø§ÙØ´ÙØ±ÙØ©.</x:t>
        </x:is>
      </x:c>
      <x:c r="E20" s="5"/>
      <x:c r="F20" s="5"/>
      <x:c r="G20" s="5"/>
      <x:c r="H20" s="7" t="str">
        <x:f t="shared" si="1"/>
      </x:c>
      <x:c r="I20" s="6" t="str">
        <x:f t="shared" si="2"/>
      </x:c>
      <x:c r="J20" s="4"/>
      <x:c r="K20" s="4"/>
      <x:c r="L20" s="4"/>
      <x:c r="M20" s="9" t="str">
        <x:f t="shared" si="3"/>
      </x:c>
      <x:c r="N20" s="4" t="inlineStr">
        <x:is>
          <x:t xml:space="preserve">https://mobilypay.sa/ar/offers/offer-41.html</x:t>
        </x:is>
      </x:c>
      <x:c r="O20" s="4"/>
      <x:c r="P20" s="4"/>
      <x:c r="Q20" s="4"/>
      <x:c r="R20" s="4"/>
      <x:c r="S20" s="4"/>
      <x:c r="T20" s="5" t="n">
        <x:v>46259.656174372314</x:v>
      </x:c>
      <x:c r="U20" s="35" t="str">
        <x:f t="shared" si="4"/>
      </x:c>
    </x:row>
    <x:row r="21" ht="46.650001525878906" customHeight="1">
      <x:c r="A21" s="8" t="str">
        <x:f t="shared" si="0"/>
      </x:c>
      <x:c r="B21" s="4" t="inlineStr">
        <x:is>
          <x:t xml:space="preserve">Merchant</x:t>
        </x:is>
      </x:c>
      <x:c r="C21" s="4" t="inlineStr">
        <x:is>
          <x:t xml:space="preserve">Ø¨ÙÙØ§ØªØ³ Ø§Ø³ØªØ¯ÙÙ</x:t>
        </x:is>
      </x:c>
      <x:c r="D21" s="4" t="inlineStr">
        <x:is>
          <x:t xml:space="preserve">ÙØ³Ø±Ù Ø§ÙØ¹Ø±Ø¶ Ù Ù 6 Ø£Ø¨Ø±ÙÙ Ø­ØªÙ 31 Ø¯ÙØ³Ù Ø¨Ø± 2026. Ø§Ø´ØªØ±Ù ÙÙ 10 Ø­ØµØµ Ø¨ÙÙØ§ØªØ³ ÙØ§Ø­ØµÙ Ø¹ÙÙ Ø­ØµØªÙÙ ÙÙÙØ§ Ù Ø¬Ø§ÙØ§Ù.</x:t>
        </x:is>
      </x:c>
      <x:c r="E21" s="5"/>
      <x:c r="F21" s="5"/>
      <x:c r="G21" s="5"/>
      <x:c r="H21" s="7" t="str">
        <x:f t="shared" si="1"/>
      </x:c>
      <x:c r="I21" s="6" t="str">
        <x:f t="shared" si="2"/>
      </x:c>
      <x:c r="J21" s="4"/>
      <x:c r="K21" s="4"/>
      <x:c r="L21" s="4"/>
      <x:c r="M21" s="9" t="str">
        <x:f t="shared" si="3"/>
      </x:c>
      <x:c r="N21" s="4" t="inlineStr">
        <x:is>
          <x:t xml:space="preserve">https://mobilypay.sa/ar/offers/offer-36.html</x:t>
        </x:is>
      </x:c>
      <x:c r="O21" s="4"/>
      <x:c r="P21" s="4"/>
      <x:c r="Q21" s="4"/>
      <x:c r="R21" s="4"/>
      <x:c r="S21" s="4"/>
      <x:c r="T21" s="5" t="n">
        <x:v>46259.656174372314</x:v>
      </x:c>
      <x:c r="U21" s="35" t="str">
        <x:f t="shared" si="4"/>
      </x:c>
    </x:row>
    <x:row r="22" ht="46.650001525878906" customHeight="1">
      <x:c r="A22" s="8" t="str">
        <x:f t="shared" si="0"/>
      </x:c>
      <x:c r="B22" s="4" t="inlineStr">
        <x:is>
          <x:t xml:space="preserve">Merchant</x:t>
        </x:is>
      </x:c>
      <x:c r="C22" s="4" t="inlineStr">
        <x:is>
          <x:t xml:space="preserve">ØªØ§ÙÙÙØª</x:t>
        </x:is>
      </x:c>
      <x:c r="D22" s="4" t="inlineStr">
        <x:is>
          <x:t xml:space="preserve">ÙØ³Ø±Ù Ø§ÙØ¹Ø±Ø¶ Ù Ù 19 Ø£Ø¨Ø±ÙÙ Ø­ØªÙ 30 ÙÙÙÙ Ø¨Ø± 2026. Ø®ØµÙ 20% Ø¹ÙÙ Ø¬Ù ÙØ¹ Ø§ÙØ·ÙØ¨Ø§Øª Ø¨Ø¯ÙÙ Ø­Ø¯ Ø£Ø¯ÙÙ Ù Ù Ø®ÙØ§Ù Ø§ÙØªØ·Ø¨ÙÙ Ø§ÙÙ Ø®ØµØµ ÙØ§Ø³ØªÙØ§Ù Ø§ÙØ·ÙØ¨Ø§Øª.</x:t>
        </x:is>
      </x:c>
      <x:c r="E22" s="5"/>
      <x:c r="F22" s="5"/>
      <x:c r="G22" s="5"/>
      <x:c r="H22" s="7" t="str">
        <x:f t="shared" si="1"/>
      </x:c>
      <x:c r="I22" s="6" t="str">
        <x:f t="shared" si="2"/>
      </x:c>
      <x:c r="J22" s="4"/>
      <x:c r="K22" s="4"/>
      <x:c r="L22" s="4"/>
      <x:c r="M22" s="9" t="str">
        <x:f t="shared" si="3"/>
      </x:c>
      <x:c r="N22" s="4" t="inlineStr">
        <x:is>
          <x:t xml:space="preserve">https://mobilypay.sa/ar/offers/offer-44.html</x:t>
        </x:is>
      </x:c>
      <x:c r="O22" s="4"/>
      <x:c r="P22" s="4"/>
      <x:c r="Q22" s="4"/>
      <x:c r="R22" s="4"/>
      <x:c r="S22" s="4"/>
      <x:c r="T22" s="5" t="n">
        <x:v>46259.656174372314</x:v>
      </x:c>
      <x:c r="U22" s="35" t="str">
        <x:f t="shared" si="4"/>
      </x:c>
    </x:row>
    <x:row r="23" ht="46.650001525878906" customHeight="1">
      <x:c r="A23" s="8" t="str">
        <x:f t="shared" si="0"/>
      </x:c>
      <x:c r="B23" s="4" t="inlineStr">
        <x:is>
          <x:t xml:space="preserve">Remittance</x:t>
        </x:is>
      </x:c>
      <x:c r="C23" s="4" t="inlineStr">
        <x:is>
          <x:t xml:space="preserve">Ø­ÙØ§ÙØªÙ Ø§ÙØ¯ÙÙÙØ© Ø¥ÙÙ Ø¨Ø§ÙØ³ØªØ§Ù Ù Ø¬Ø§ÙÙØ©</x:t>
        </x:is>
      </x:c>
      <x:c r="D23" s="4" t="inlineStr">
        <x:is>
          <x:t xml:space="preserve">ÙØ°Ø§ Ø§ÙØ¹Ø±Ø¶ Ø³Ø§Ø±Ù Ù Ù 8 ÙÙÙÙ Ø¨Ø± 2023. Ø§ÙØªØ­ÙÙÙ Ø§ÙØ¯ÙÙÙ Ø¥ÙÙ Ø­Ø³Ø§Ø¨ Ø¨ÙÙÙ Ø£Ù Ù Ø­Ø§ÙØ¸ Ø±ÙÙ ÙØ© ÙÙ Ø¨Ø§ÙØ³ØªØ§Ù Ø¨Ø¯ÙÙ Ø±Ø³ÙÙ .</x:t>
        </x:is>
      </x:c>
      <x:c r="E23" s="5"/>
      <x:c r="F23" s="5"/>
      <x:c r="G23" s="5"/>
      <x:c r="H23" s="7" t="str">
        <x:f t="shared" si="1"/>
      </x:c>
      <x:c r="I23" s="6" t="str">
        <x:f t="shared" si="2"/>
      </x:c>
      <x:c r="J23" s="4"/>
      <x:c r="K23" s="4"/>
      <x:c r="L23" s="4"/>
      <x:c r="M23" s="9" t="str">
        <x:f t="shared" si="3"/>
      </x:c>
      <x:c r="N23" s="4" t="inlineStr">
        <x:is>
          <x:t xml:space="preserve">https://mobilypay.sa/ar/offers/offer-2.html</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Ø±Ø³ÙÙ ÙÙÙØ¯Ø§ÙØ§</x:t>
        </x:is>
      </x:c>
      <x:c r="D24" s="4" t="inlineStr">
        <x:is>
          <x:t xml:space="preserve">ÙØ³Ø±Ù Ø§ÙØ¹Ø±Ø¶ 15 Ø£ÙØªÙØ¨Ø± 2025 Ø­ØªÙ 14 Ø£ÙØªÙØ¨Ø± 2026 Ø®ØµÙ 30% Ø¹ÙÙ Ø£ÙÙ Ø·ÙØ¨ Ø¨Ø­Ø¯ Ø£ÙØµÙ 100 Ø±ÙØ§Ù Ø¹ÙØ¯ Ø§Ø³ØªØ®Ø¯Ø§Ù Ø§ÙØ±Ù Ø² Ø§ÙØªØ±ÙÙØ¬Ù MPay30 ÙÙ ÙÙ Ø§ÙØ§Ø³ØªÙØ§Ø¯Ø© Ù Ù Ø§ÙØ¹Ø±Ø¶ Ù Ø±Ø© ÙØ§Ø­Ø¯Ø© ÙÙÙ Ø¹Ù ÙÙ.</x:t>
        </x:is>
      </x:c>
      <x:c r="E24" s="5"/>
      <x:c r="F24" s="5"/>
      <x:c r="G24" s="5"/>
      <x:c r="H24" s="7" t="str">
        <x:f t="shared" si="1"/>
      </x:c>
      <x:c r="I24" s="6" t="str">
        <x:f t="shared" si="2"/>
      </x:c>
      <x:c r="J24" s="4"/>
      <x:c r="K24" s="4"/>
      <x:c r="L24" s="4"/>
      <x:c r="M24" s="9" t="str">
        <x:f t="shared" si="3"/>
      </x:c>
      <x:c r="N24" s="4" t="inlineStr">
        <x:is>
          <x:t xml:space="preserve">https://mobilypay.sa/ar/offers/offer-14.html</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Ø±ÙÙ Ø§ÙÙÙ</x:t>
        </x:is>
      </x:c>
      <x:c r="D25" s="4" t="inlineStr">
        <x:is>
          <x:t xml:space="preserve">ÙØ³Ø±Ù Ø§ÙØ¹Ø±Ø¶ Ù Ù 19 Ø£Ø¨Ø±ÙÙ Ø­ØªÙ 30 ÙÙÙÙ Ø¨Ø± 2026 Ø®ØµÙ 20% Ø¹ÙÙ Ø¬Ù ÙØ¹ Ø§ÙØ·ÙØ¨Ø§Øª Ø¨Ø¯ÙÙ Ø­Ø¯ Ø£Ø¯ÙÙ Ù Ù Ø®ÙØ§Ù Ø§ÙØªØ·Ø¨ÙÙ Ø§ÙÙ Ø®ØµØµ ÙØ§Ø³ØªÙØ§Ù Ø§ÙØ·ÙØ¨Ø§Øª.</x:t>
        </x:is>
      </x:c>
      <x:c r="E25" s="5"/>
      <x:c r="F25" s="5"/>
      <x:c r="G25" s="5"/>
      <x:c r="H25" s="7" t="str">
        <x:f t="shared" si="1"/>
      </x:c>
      <x:c r="I25" s="6" t="str">
        <x:f t="shared" si="2"/>
      </x:c>
      <x:c r="J25" s="4"/>
      <x:c r="K25" s="4"/>
      <x:c r="L25" s="4"/>
      <x:c r="M25" s="9" t="str">
        <x:f t="shared" si="3"/>
      </x:c>
      <x:c r="N25" s="4" t="inlineStr">
        <x:is>
          <x:t xml:space="preserve">https://mobilypay.sa/ar/offers/offer-50.html</x:t>
        </x:is>
      </x:c>
      <x:c r="O25" s="4"/>
      <x:c r="P25" s="4"/>
      <x:c r="Q25" s="4"/>
      <x:c r="R25" s="4"/>
      <x:c r="S25" s="4"/>
      <x:c r="T25" s="5" t="n">
        <x:v>46259.656174372314</x:v>
      </x:c>
      <x:c r="U25" s="35" t="str">
        <x:f t="shared" si="4"/>
      </x:c>
    </x:row>
    <x:row r="26" ht="46.650001525878906" customHeight="1">
      <x:c r="A26" s="8" t="str">
        <x:f t="shared" si="0"/>
      </x:c>
      <x:c r="B26" s="4" t="inlineStr">
        <x:is>
          <x:t xml:space="preserve">Merchant</x:t>
        </x:is>
      </x:c>
      <x:c r="C26" s="4" t="inlineStr">
        <x:is>
          <x:t xml:space="preserve">Ø³ÙÙØªØ±</x:t>
        </x:is>
      </x:c>
      <x:c r="D26" s="4" t="inlineStr">
        <x:is>
          <x:t xml:space="preserve">ÙØ³Ø±Ù Ø§ÙØ¹Ø±Ø¶ Ù Ù 26 Ø£ÙØªÙØ¨Ø± 2025 Ø­ØªÙ 30 Ø¯ÙØ³Ù ÙØ± 2026 Ø®ØµÙ 40Ùª Ø¹ÙÙ Ø§ÙØºØ³ÙØ© Ø§ÙÙØ±Ø¯ÙØ© ÙÙØ· Ù Ù Ø§ÙØ³Ø§Ø¹Ø© 9:00 ØµØ¨Ø§Ø­Ø§Ù Ø­ØªÙ Ø§ÙØ³Ø§Ø¹Ø© 2 Ø¸ÙØ±Ø§Ù Ø¹ÙØ¯ Ø§Ø³ØªØ®Ø¯Ø§Ù Ø§ÙØ±Ù Ø² Ø§ÙØªØ±ÙÙØ¬Ù MobilyPay40</x:t>
        </x:is>
      </x:c>
      <x:c r="E26" s="5"/>
      <x:c r="F26" s="5"/>
      <x:c r="G26" s="5"/>
      <x:c r="H26" s="7" t="str">
        <x:f t="shared" si="1"/>
      </x:c>
      <x:c r="I26" s="6" t="str">
        <x:f t="shared" si="2"/>
      </x:c>
      <x:c r="J26" s="4"/>
      <x:c r="K26" s="4"/>
      <x:c r="L26" s="4"/>
      <x:c r="M26" s="9" t="str">
        <x:f t="shared" si="3"/>
      </x:c>
      <x:c r="N26" s="4" t="inlineStr">
        <x:is>
          <x:t xml:space="preserve">https://mobilypay.sa/ar/offers/offer-20.html</x:t>
        </x:is>
      </x:c>
      <x:c r="O26" s="4"/>
      <x:c r="P26" s="4"/>
      <x:c r="Q26" s="4"/>
      <x:c r="R26" s="4"/>
      <x:c r="S26" s="4"/>
      <x:c r="T26" s="5" t="n">
        <x:v>46259.656174372314</x:v>
      </x:c>
      <x:c r="U26" s="35" t="str">
        <x:f t="shared" si="4"/>
      </x:c>
    </x:row>
    <x:row r="27" ht="46.650001525878906" customHeight="1">
      <x:c r="A27" s="8" t="str">
        <x:f t="shared" si="0"/>
      </x:c>
      <x:c r="B27" s="4" t="inlineStr">
        <x:is>
          <x:t xml:space="preserve">Merchant</x:t>
        </x:is>
      </x:c>
      <x:c r="C27" s="4" t="inlineStr">
        <x:is>
          <x:t xml:space="preserve">ØµÙØ§ÙØ© Ø³ÙØ§Ø±ØªÙ Ø£Ø³ÙÙ Ù Ø¹ Ù Ø³Ù Ø§Ø±</x:t>
        </x:is>
      </x:c>
      <x:c r="D27" s="4" t="inlineStr">
        <x:is>
          <x:t xml:space="preserve">ÙØ³Ø±Ù Ø§ÙØ¹Ø±Ø¶ Ù Ù 12 Ù Ø§ÙÙ 2025 Ø­ØªÙ 10 Ù Ø§ÙÙ 2027. Ø®ØµÙ %75 Ø¨Ø¯ÙÙ Ø­Ø¯ Ø£Ø¯ÙÙ Ø¹ÙÙ Ø±Ø³ÙÙ Ø®Ø¯Ù Ø§Øª Ø§ÙØµÙØ§ÙØ© ÙØ§ÙØ£Ø¹Ø·Ø§Ù.</x:t>
        </x:is>
      </x:c>
      <x:c r="E27" s="5"/>
      <x:c r="F27" s="5"/>
      <x:c r="G27" s="5"/>
      <x:c r="H27" s="7" t="str">
        <x:f t="shared" si="1"/>
      </x:c>
      <x:c r="I27" s="6" t="str">
        <x:f t="shared" si="2"/>
      </x:c>
      <x:c r="J27" s="4"/>
      <x:c r="K27" s="4"/>
      <x:c r="L27" s="4"/>
      <x:c r="M27" s="9" t="str">
        <x:f t="shared" si="3"/>
      </x:c>
      <x:c r="N27" s="4" t="inlineStr">
        <x:is>
          <x:t xml:space="preserve">https://mobilypay.sa/ar/offers/offer-9.html</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Ø¹Ø±Ø¶ ØªØ±Ø¨Ø² ÙØ­Ø¬ÙØ²Ø§Øª Ø§ÙÙÙØ§Ø¯Ù ÙØ±Ø­ÙØ§Øª Ø§ÙØ·ÙØ±Ø§Ù</x:t>
        </x:is>
      </x:c>
      <x:c r="D28" s="4" t="inlineStr">
        <x:is>
          <x:t xml:space="preserve">Ø§ÙØ¹Ø±ÙØ¶ Ø¹Ø±Ø¶ ØªØ±Ø¨Ø² ÙØ­Ø¬ÙØ²Ø§Øª Ø§ÙÙÙØ§Ø¯Ù ÙØ±Ø­ÙØ§Øª Ø§ÙØ·ÙØ±Ø§Ù</x:t>
        </x:is>
      </x:c>
      <x:c r="E28" s="5"/>
      <x:c r="F28" s="5"/>
      <x:c r="G28" s="5"/>
      <x:c r="H28" s="7" t="str">
        <x:f t="shared" si="1"/>
      </x:c>
      <x:c r="I28" s="6" t="str">
        <x:f t="shared" si="2"/>
      </x:c>
      <x:c r="J28" s="4"/>
      <x:c r="K28" s="4"/>
      <x:c r="L28" s="4"/>
      <x:c r="M28" s="9" t="str">
        <x:f t="shared" si="3"/>
      </x:c>
      <x:c r="N28" s="4" t="inlineStr">
        <x:is>
          <x:t xml:space="preserve">https://mobilypay.sa/ar/offers/offer-57.html</x:t>
        </x:is>
      </x:c>
      <x:c r="O28" s="4"/>
      <x:c r="P28" s="4"/>
      <x:c r="Q28" s="4"/>
      <x:c r="R28" s="4"/>
      <x:c r="S28" s="4"/>
      <x:c r="T28" s="5" t="n">
        <x:v>46259.656174372314</x:v>
      </x:c>
      <x:c r="U28" s="35" t="str">
        <x:f t="shared" si="4"/>
      </x:c>
    </x:row>
    <x:row r="29" ht="46.650001525878906" customHeight="1">
      <x:c r="A29" s="8" t="str">
        <x:f t="shared" si="0"/>
      </x:c>
      <x:c r="B29" s="4" t="inlineStr">
        <x:is>
          <x:t xml:space="preserve">Card</x:t>
        </x:is>
      </x:c>
      <x:c r="C29" s="4" t="inlineStr">
        <x:is>
          <x:t xml:space="preserve">Ø¹Ø±ÙØ¶ Ø§ÙØµÙÙ Ù Ø¹ Ø¨Ø·Ø§ÙØ§ØªÙØ§</x:t>
        </x:is>
      </x:c>
      <x:c r="D29" s="4" t="inlineStr">
        <x:is>
          <x:t xml:space="preserve">ÙØ³Ø±Ù Ø§ÙØ¹Ø±Ø¶ Ù Ù 19 ÙÙÙÙÙ Ø­ØªÙ 26 Ø³Ø¨ØªÙ Ø¨Ø± 2026. 0% Ø±Ø³ÙÙ Ø¹ÙÙ Ø§ÙØ¹Ù ÙÙØ§Øª Ø§ÙØ¯ÙÙÙØ© Ø¨Ø¯ÙÙ Ø­Ø¯ Ø£Ø¯ÙÙ Ø£Ù Ø£Ø¹ÙÙ ÙÙ Ø¨ÙØº Ø§ÙØ¹Ù ÙÙØ© Ø¨Ø§Ø³ØªØ®Ø¯Ø§Ù Ø¨Ø·Ø§ÙØ§ØªÙØ§ Ù Ù ÙÙØ²Ø§.</x:t>
        </x:is>
      </x:c>
      <x:c r="E29" s="5"/>
      <x:c r="F29" s="5"/>
      <x:c r="G29" s="5"/>
      <x:c r="H29" s="7" t="str">
        <x:f t="shared" si="1"/>
      </x:c>
      <x:c r="I29" s="6" t="str">
        <x:f t="shared" si="2"/>
      </x:c>
      <x:c r="J29" s="4"/>
      <x:c r="K29" s="4"/>
      <x:c r="L29" s="4"/>
      <x:c r="M29" s="9" t="str">
        <x:f t="shared" si="3"/>
      </x:c>
      <x:c r="N29" s="4" t="inlineStr">
        <x:is>
          <x:t xml:space="preserve">https://mobilypay.sa/ar/offers/offer-53.html</x:t>
        </x:is>
      </x:c>
      <x:c r="O29" s="4"/>
      <x:c r="P29" s="4"/>
      <x:c r="Q29" s="4"/>
      <x:c r="R29" s="4"/>
      <x:c r="S29" s="4"/>
      <x:c r="T29" s="5" t="n">
        <x:v>46259.656174372314</x:v>
      </x:c>
      <x:c r="U29" s="35" t="str">
        <x:f t="shared" si="4"/>
      </x:c>
    </x:row>
    <x:row r="30" ht="46.650001525878906" customHeight="1">
      <x:c r="A30" s="8" t="str">
        <x:f t="shared" si="0"/>
      </x:c>
      <x:c r="B30" s="4" t="inlineStr">
        <x:is>
          <x:t xml:space="preserve">Merchant</x:t>
        </x:is>
      </x:c>
      <x:c r="C30" s="4" t="inlineStr">
        <x:is>
          <x:t xml:space="preserve">ÙØ§ÙÙØ³ ÙÙØ¥ÙØ§Ø±Ø©</x:t>
        </x:is>
      </x:c>
      <x:c r="D30" s="4" t="inlineStr">
        <x:is>
          <x:t xml:space="preserve">ÙØ³Ø±Ù Ø§ÙØ¹Ø±Ø¶ Ù Ù 22 Ø£ÙØªÙØ¨Ø± 2025 Ø­ØªÙ 20 Ø£ÙØªÙØ¨Ø± 2026. Ø®ØµÙ %12 Ø¨Ø¯ÙÙ Ø­Ø¯ Ø¹ÙÙ Ø¬Ù ÙØ¹ Ø§ÙÙ ÙØªØ¬Ø§Øª Ø¨Ø§Ø³ØªØ«ÙØ§Ø¡ Ù ÙØªØ¬Ø§Øª Ø§ÙØªØ£Ø³ÙØ³.</x:t>
        </x:is>
      </x:c>
      <x:c r="E30" s="5"/>
      <x:c r="F30" s="5"/>
      <x:c r="G30" s="5"/>
      <x:c r="H30" s="7" t="str">
        <x:f t="shared" si="1"/>
      </x:c>
      <x:c r="I30" s="6" t="str">
        <x:f t="shared" si="2"/>
      </x:c>
      <x:c r="J30" s="4"/>
      <x:c r="K30" s="4"/>
      <x:c r="L30" s="4"/>
      <x:c r="M30" s="9" t="str">
        <x:f t="shared" si="3"/>
      </x:c>
      <x:c r="N30" s="4" t="inlineStr">
        <x:is>
          <x:t xml:space="preserve">https://mobilypay.sa/ar/offers/offer-16.html</x:t>
        </x:is>
      </x:c>
      <x:c r="O30" s="4"/>
      <x:c r="P30" s="4"/>
      <x:c r="Q30" s="4"/>
      <x:c r="R30" s="4"/>
      <x:c r="S30" s="4"/>
      <x:c r="T30" s="5" t="n">
        <x:v>46259.656174372314</x:v>
      </x:c>
      <x:c r="U30" s="35" t="str">
        <x:f t="shared" si="4"/>
      </x:c>
    </x:row>
    <x:row r="31" ht="46.650001525878906" customHeight="1">
      <x:c r="A31" s="8" t="str">
        <x:f t="shared" si="0"/>
      </x:c>
      <x:c r="B31" s="4" t="inlineStr">
        <x:is>
          <x:t xml:space="preserve">Merchant</x:t>
        </x:is>
      </x:c>
      <x:c r="C31" s="4" t="inlineStr">
        <x:is>
          <x:t xml:space="preserve">ÙÙØ¯Ù Ø§ÙÙ Ø¨Ø§Øª</x:t>
        </x:is>
      </x:c>
      <x:c r="D31" s="4" t="inlineStr">
        <x:is>
          <x:t xml:space="preserve">ÙØ³Ø±Ù Ø§ÙØ¹Ø±Ø¶ Ù Ù 10ÙÙÙÙÙ 2025 Ø­ØªÙ 30 ÙÙÙÙ Ø¨Ø± 2026. Ø®ØµÙ %15 Ø¨Ø¯ÙÙ Ø­Ø¯ Ø¹ÙÙ ØªØ¬Ø±Ø¨ØªÙ Ø§ÙÙØ§Ù ÙØ© ÙÙÙÙØ¯Ù Ø¨Ø§Ø³ØªØ«ÙØ§Ø¡ Ø®Ø¯Ù Ø© Ø§ÙØ¨ÙÙÙÙ.</x:t>
        </x:is>
      </x:c>
      <x:c r="E31" s="5"/>
      <x:c r="F31" s="5"/>
      <x:c r="G31" s="5"/>
      <x:c r="H31" s="7" t="str">
        <x:f t="shared" si="1"/>
      </x:c>
      <x:c r="I31" s="6" t="str">
        <x:f t="shared" si="2"/>
      </x:c>
      <x:c r="J31" s="4"/>
      <x:c r="K31" s="4"/>
      <x:c r="L31" s="4"/>
      <x:c r="M31" s="9" t="str">
        <x:f t="shared" si="3"/>
      </x:c>
      <x:c r="N31" s="4" t="inlineStr">
        <x:is>
          <x:t xml:space="preserve">https://mobilypay.sa/ar/offers/offer-13.html</x:t>
        </x:is>
      </x:c>
      <x:c r="O31" s="4"/>
      <x:c r="P31" s="4"/>
      <x:c r="Q31" s="4"/>
      <x:c r="R31" s="4"/>
      <x:c r="S31" s="4"/>
      <x:c r="T31" s="5" t="n">
        <x:v>46259.656174372314</x:v>
      </x:c>
      <x:c r="U31" s="35" t="str">
        <x:f t="shared" si="4"/>
      </x:c>
    </x:row>
    <x:row r="32" ht="46.650001525878906" customHeight="1">
      <x:c r="A32" s="8" t="str">
        <x:f t="shared" si="0"/>
      </x:c>
      <x:c r="B32" s="4" t="inlineStr">
        <x:is>
          <x:t xml:space="preserve">Merchant</x:t>
        </x:is>
      </x:c>
      <x:c r="C32" s="4" t="inlineStr">
        <x:is>
          <x:t xml:space="preserve">ÙÙØºØ§ ÙÙÙØ³ÙØª</x:t>
        </x:is>
      </x:c>
      <x:c r="D32" s="4" t="inlineStr">
        <x:is>
          <x:t xml:space="preserve">ÙØ³Ø±Ù Ø§ÙØ¹Ø±Ø¶ Ù Ù 19 Ø£Ø¨Ø±ÙÙ Ø­ØªÙ 30 Ø³Ø¨ØªÙ Ø¨Ø± 2026. Ø§Ø¯ÙØ¹ Ø¨Ø§Ø³ØªØ®Ø¯Ø§Ù Ø§ÙØ¨Ø·Ø§ÙØ§Øª Ø§ÙØªØ§ÙÙØ© ÙÙ Mobily Pay (Ø§ÙØ¨ÙØ§ØªÙÙÙØ© Ù Ø³Ø¬ÙÙØªØ´Ø±) Ù Ø¹ Ø§ÙØ±Ù Ø² Ø§ÙØªØ±ÙÙØ¬Ù "VISA10" ÙÙØ­ØµÙÙ Ø¹ÙÙ Ø§ÙØ®ØµÙ .</x:t>
        </x:is>
      </x:c>
      <x:c r="E32" s="5"/>
      <x:c r="F32" s="5"/>
      <x:c r="G32" s="5"/>
      <x:c r="H32" s="7" t="str">
        <x:f t="shared" si="1"/>
      </x:c>
      <x:c r="I32" s="6" t="str">
        <x:f t="shared" si="2"/>
      </x:c>
      <x:c r="J32" s="4"/>
      <x:c r="K32" s="4"/>
      <x:c r="L32" s="4"/>
      <x:c r="M32" s="9" t="str">
        <x:f t="shared" si="3"/>
      </x:c>
      <x:c r="N32" s="4" t="inlineStr">
        <x:is>
          <x:t xml:space="preserve">https://mobilypay.sa/ar/offers/offer-49.html</x:t>
        </x:is>
      </x:c>
      <x:c r="O32" s="4"/>
      <x:c r="P32" s="4"/>
      <x:c r="Q32" s="4"/>
      <x:c r="R32" s="4"/>
      <x:c r="S32" s="4"/>
      <x:c r="T32" s="5" t="n">
        <x:v>46259.656174372314</x:v>
      </x:c>
      <x:c r="U32" s="35" t="str">
        <x:f t="shared" si="4"/>
      </x:c>
    </x:row>
    <x:row r="33" ht="46.650001525878906" customHeight="1">
      <x:c r="A33" s="8" t="str">
        <x:f t="shared" si="0"/>
      </x:c>
      <x:c r="B33" s="4" t="inlineStr">
        <x:is>
          <x:t xml:space="preserve">Merchant</x:t>
        </x:is>
      </x:c>
      <x:c r="C33" s="4" t="inlineStr">
        <x:is>
          <x:t xml:space="preserve">ÙÙØ²ÙÙ ÙÙÙ ÙØ®Ø¯Ù Ø§Øª Ø§ÙØ¹ÙØ§Ø¬ Ø§ÙØ·Ø¨ÙØ¹Ù</x:t>
        </x:is>
      </x:c>
      <x:c r="D33" s="4" t="inlineStr">
        <x:is>
          <x:t xml:space="preserve">ÙØ³Ø±Ù Ø§ÙØ¹Ø±Ø¶ Ù Ù 19 Ø£Ø¨Ø±ÙÙ Ø­ØªÙ 31 Ø¯ÙØ³Ù Ø¨Ø± 2026. Ø®ØµÙ %20 Ø¹ÙÙ Ø¬Ù ÙØ¹ Ø¨Ø±Ø§Ù Ø¬ Ø§ÙØ¹ÙØ§Ø¬ Ø§ÙØ·Ø¨ÙØ¹Ù ÙØ¥Ø¹Ø§Ø¯Ø© Ø§ÙØªØ§ÙÙÙ.</x:t>
        </x:is>
      </x:c>
      <x:c r="E33" s="5"/>
      <x:c r="F33" s="5"/>
      <x:c r="G33" s="5"/>
      <x:c r="H33" s="7" t="str">
        <x:f t="shared" si="1"/>
      </x:c>
      <x:c r="I33" s="6" t="str">
        <x:f t="shared" si="2"/>
      </x:c>
      <x:c r="J33" s="4"/>
      <x:c r="K33" s="4"/>
      <x:c r="L33" s="4"/>
      <x:c r="M33" s="9" t="str">
        <x:f t="shared" si="3"/>
      </x:c>
      <x:c r="N33" s="4" t="inlineStr">
        <x:is>
          <x:t xml:space="preserve">https://mobilypay.sa/ar/offers/offer-46.html</x:t>
        </x:is>
      </x:c>
      <x:c r="O33" s="4"/>
      <x:c r="P33" s="4"/>
      <x:c r="Q33" s="4"/>
      <x:c r="R33" s="4"/>
      <x:c r="S33" s="4"/>
      <x:c r="T33" s="5" t="n">
        <x:v>46259.656174372314</x:v>
      </x:c>
      <x:c r="U33" s="35" t="str">
        <x:f t="shared" si="4"/>
      </x:c>
    </x:row>
    <x:row r="34" ht="46.650001525878906" customHeight="1">
      <x:c r="A34" s="8" t="str">
        <x:f t="shared" si="0"/>
      </x:c>
      <x:c r="B34" s="4" t="inlineStr">
        <x:is>
          <x:t xml:space="preserve">Merchant</x:t>
        </x:is>
      </x:c>
      <x:c r="C34" s="4" t="inlineStr">
        <x:is>
          <x:t xml:space="preserve">ÙØ§ÙØªÙÙ</x:t>
        </x:is>
      </x:c>
      <x:c r="D34" s="4" t="inlineStr">
        <x:is>
          <x:t xml:space="preserve">ÙØ³Ø±Ù Ø§ÙØ¹Ø±Ø¶ Ù Ù 19 Ø£Ø¨Ø±ÙÙ Ø­ØªÙ 30 ÙÙÙÙ Ø¨Ø± 2026. Ø®ØµÙ 15% Ø¹ÙÙ Ø¬Ù ÙØ¹ Ø§ÙØ·ÙØ¨Ø§Øª Ø¨Ø¯ÙÙ Ø­Ø¯ Ø£Ø¯ÙÙ Ù Ù Ø®ÙØ§Ù Ø§ÙØªØ·Ø¨ÙÙ Ø§ÙÙ Ø®ØµØµ ÙØ§Ø³ØªÙØ§Ù Ø§ÙØ·ÙØ¨Ø§Øª.</x:t>
        </x:is>
      </x:c>
      <x:c r="E34" s="5"/>
      <x:c r="F34" s="5"/>
      <x:c r="G34" s="5"/>
      <x:c r="H34" s="7" t="str">
        <x:f t="shared" si="1"/>
      </x:c>
      <x:c r="I34" s="6" t="str">
        <x:f t="shared" si="2"/>
      </x:c>
      <x:c r="J34" s="4"/>
      <x:c r="K34" s="4"/>
      <x:c r="L34" s="4"/>
      <x:c r="M34" s="9" t="str">
        <x:f t="shared" si="3"/>
      </x:c>
      <x:c r="N34" s="4" t="inlineStr">
        <x:is>
          <x:t xml:space="preserve">https://mobilypay.sa/ar/offers/offer-45.html</x:t>
        </x:is>
      </x:c>
      <x:c r="O34" s="4"/>
      <x:c r="P34" s="4"/>
      <x:c r="Q34" s="4"/>
      <x:c r="R34" s="4"/>
      <x:c r="S34" s="4"/>
      <x:c r="T34" s="5" t="n">
        <x:v>46259.656174372314</x:v>
      </x:c>
      <x:c r="U34" s="35" t="str">
        <x:f t="shared" si="4"/>
      </x:c>
    </x:row>
    <x:row r="35" ht="46.650001525878906" customHeight="1">
      <x:c r="A35" s="8" t="str">
        <x:f t="shared" si="0"/>
      </x:c>
      <x:c r="B35" s="4" t="inlineStr">
        <x:is>
          <x:t xml:space="preserve">Merchant</x:t>
        </x:is>
      </x:c>
      <x:c r="C35" s="4" t="inlineStr">
        <x:is>
          <x:t xml:space="preserve">ÙÙ Ø· Ø­ÙØ§Ø© ØµØ­Ù Ù Ø¹ Ø³Ø§ÙÙØ¯</x:t>
        </x:is>
      </x:c>
      <x:c r="D35" s="4" t="inlineStr">
        <x:is>
          <x:t xml:space="preserve">ÙØ³Ø±Ù Ø§ÙØ¹Ø±Ø¶ Ù Ù 1 Ø³Ø¨ØªÙ Ø¨Ø± 2025 Ø­ØªÙ 31 Ø¯ÙØ³Ù Ø¨Ø± 2026 Ø®ØµÙ %15 Ø¹ÙÙ Ø¬Ù ÙØ¹ Ø§ÙØ¨Ø§ÙØ§Øª Ø¨Ø¯ÙÙ Ø­Ø¯ Ø£Ø¯ÙÙ.</x:t>
        </x:is>
      </x:c>
      <x:c r="E35" s="5"/>
      <x:c r="F35" s="5"/>
      <x:c r="G35" s="5"/>
      <x:c r="H35" s="7" t="str">
        <x:f t="shared" si="1"/>
      </x:c>
      <x:c r="I35" s="6" t="str">
        <x:f t="shared" si="2"/>
      </x:c>
      <x:c r="J35" s="4"/>
      <x:c r="K35" s="4"/>
      <x:c r="L35" s="4"/>
      <x:c r="M35" s="9" t="str">
        <x:f t="shared" si="3"/>
      </x:c>
      <x:c r="N35" s="4" t="inlineStr">
        <x:is>
          <x:t xml:space="preserve">https://mobilypay.sa/ar/offers/offer-15.html</x:t>
        </x:is>
      </x:c>
      <x:c r="O35" s="4"/>
      <x:c r="P35" s="4"/>
      <x:c r="Q35" s="4"/>
      <x:c r="R35" s="4"/>
      <x:c r="S35" s="4"/>
      <x:c r="T35" s="5" t="n">
        <x:v>46259.741513515</x:v>
      </x:c>
      <x:c r="U35" s="35" t="str">
        <x:f t="shared" si="4"/>
      </x:c>
    </x:row>
    <x:row r="36" ht="46.650001525878906" customHeight="1">
      <x:c r="A36" s="8" t="str">
        <x:f t="shared" si="0"/>
      </x:c>
      <x:c r="B36" s="4" t="inlineStr">
        <x:is>
          <x:t xml:space="preserve">Merchant</x:t>
        </x:is>
      </x:c>
      <x:c r="C36" s="4" t="inlineStr">
        <x:is>
          <x:t xml:space="preserve">ÙÙ ÙÙ ØªÙ ØµÙØ§ÙØ© ÙÙ ÙØ²ÙÙ</x:t>
        </x:is>
      </x:c>
      <x:c r="D36" s="4" t="inlineStr">
        <x:is>
          <x:t xml:space="preserve">ÙØ³Ø±Ù Ø§ÙØ¹Ø±Ø¶ Ù Ù 31 Ø¯ÙØ³Ù Ø¨Ø± 2025 Ø­ØªÙ 28 Ø¯ÙØ³Ù Ø¨Ø± 2026 Ø®ØµÙ 15% Ø¹ÙÙ Ø¬Ù ÙØ¹ Ø§ÙØ¨Ø§ÙØ§Øª Ù Ø§ÙØ®Ø¯Ù Ø§Øª Ø¨Ø¯ÙÙ Ø­Ø¯ Ø£Ø¯ÙÙ.</x:t>
        </x:is>
      </x:c>
      <x:c r="E36" s="5"/>
      <x:c r="F36" s="5"/>
      <x:c r="G36" s="5"/>
      <x:c r="H36" s="7" t="str">
        <x:f t="shared" si="1"/>
      </x:c>
      <x:c r="I36" s="6" t="str">
        <x:f t="shared" si="2"/>
      </x:c>
      <x:c r="J36" s="4"/>
      <x:c r="K36" s="4"/>
      <x:c r="L36" s="4"/>
      <x:c r="M36" s="9" t="str">
        <x:f t="shared" si="3"/>
      </x:c>
      <x:c r="N36" s="4" t="inlineStr">
        <x:is>
          <x:t xml:space="preserve">https://mobilypay.sa/ar/offers/offer-24.html</x:t>
        </x:is>
      </x:c>
      <x:c r="O36" s="4"/>
      <x:c r="P36" s="4"/>
      <x:c r="Q36" s="4"/>
      <x:c r="R36" s="4"/>
      <x:c r="S36" s="4"/>
      <x:c r="T36" s="5" t="n">
        <x:v>46259.656174372314</x:v>
      </x:c>
      <x:c r="U36" s="35" t="str">
        <x:f t="shared" si="4"/>
      </x:c>
    </x:row>
    <x:row r="37" ht="46.650001525878906" customHeight="1">
      <x:c r="A37" s="8" t="str">
        <x:f t="shared" si="0"/>
      </x:c>
      <x:c r="B37" s="4" t="inlineStr">
        <x:is>
          <x:t xml:space="preserve">Merchant</x:t>
        </x:is>
      </x:c>
      <x:c r="C37" s="4" t="inlineStr">
        <x:is>
          <x:t xml:space="preserve">ÙÙ ÙÙ ÙØ¸Ø§ÙØ© Ù ÙØ²ÙÙØ© ÙØ§ÙØ«Ø±</x:t>
        </x:is>
      </x:c>
      <x:c r="D37" s="4" t="inlineStr">
        <x:is>
          <x:t xml:space="preserve">ÙØ³Ø±Ù Ø§ÙØ¹Ø±Ø¶ Ù Ù 31 Ø¯ÙØ³Ù Ø¨Ø± 2025 Ø­ØªÙ 28 Ø¯ÙØ³Ù Ø¨Ø± 2026 Ø®ØµÙ 15% Ø¹ÙÙ Ø¬Ù ÙØ¹ Ø§ÙØ¨Ø§ÙØ§Øª Ø¨Ø¯ÙÙ Ø­Ø¯ Ø£Ø¯ÙÙ.</x:t>
        </x:is>
      </x:c>
      <x:c r="E37" s="5"/>
      <x:c r="F37" s="5"/>
      <x:c r="G37" s="5"/>
      <x:c r="H37" s="7" t="str">
        <x:f t="shared" si="1"/>
      </x:c>
      <x:c r="I37" s="6" t="str">
        <x:f t="shared" si="2"/>
      </x:c>
      <x:c r="J37" s="4"/>
      <x:c r="K37" s="4"/>
      <x:c r="L37" s="4"/>
      <x:c r="M37" s="9" t="str">
        <x:f t="shared" si="3"/>
      </x:c>
      <x:c r="N37" s="4" t="inlineStr">
        <x:is>
          <x:t xml:space="preserve">https://mobilypay.sa/ar/offers/offer-25.html</x:t>
        </x:is>
      </x:c>
      <x:c r="O37" s="4"/>
      <x:c r="P37" s="4"/>
      <x:c r="Q37" s="4"/>
      <x:c r="R37" s="4"/>
      <x:c r="S37" s="4"/>
      <x:c r="T37" s="5" t="n">
        <x:v>46259.656174372314</x:v>
      </x:c>
      <x:c r="U37" s="35" t="str">
        <x:f t="shared" si="4"/>
      </x:c>
    </x:row>
    <x:row r="38" ht="46.650001525878906" customHeight="1">
      <x:c r="A38" s="8" t="str">
        <x:f t="shared" si="0"/>
      </x:c>
      <x:c r="B38" s="4" t="inlineStr">
        <x:is>
          <x:t xml:space="preserve">Merchant</x:t>
        </x:is>
      </x:c>
      <x:c r="C38" s="4" t="inlineStr">
        <x:is>
          <x:t xml:space="preserve">ÙÙØ´ ÙÙØªØ±ÙÙÙ Ù Ø§ÙØ£ÙØ¹Ø§Ø¨ Ø§ÙØ­Ø±ÙÙØ©</x:t>
        </x:is>
      </x:c>
      <x:c r="D38" s="4" t="inlineStr">
        <x:is>
          <x:t xml:space="preserve">ÙØ³Ø±Ù Ø§ÙØ¹Ø±Ø¶ Ù Ù 10 ÙÙÙÙ Ø¨Ø± 2025 Ø­ØªÙ 9 ÙÙÙÙ Ø¨Ø± 2026 Ø®ØµÙ 15% Ø¹ÙÙ Ø¬Ù ÙØ¹ Ø§ÙØ§Ø³Ø§ÙØ±.</x:t>
        </x:is>
      </x:c>
      <x:c r="E38" s="5"/>
      <x:c r="F38" s="5"/>
      <x:c r="G38" s="5"/>
      <x:c r="H38" s="7" t="str">
        <x:f t="shared" si="1"/>
      </x:c>
      <x:c r="I38" s="6" t="str">
        <x:f t="shared" si="2"/>
      </x:c>
      <x:c r="J38" s="4"/>
      <x:c r="K38" s="4"/>
      <x:c r="L38" s="4"/>
      <x:c r="M38" s="9" t="str">
        <x:f t="shared" si="3"/>
      </x:c>
      <x:c r="N38" s="4" t="inlineStr">
        <x:is>
          <x:t xml:space="preserve">https://mobilypay.sa/ar/offers/offer-23.html</x:t>
        </x:is>
      </x:c>
      <x:c r="O38" s="4"/>
      <x:c r="P38" s="4"/>
      <x:c r="Q38" s="4"/>
      <x:c r="R38" s="4"/>
      <x:c r="S38" s="4"/>
      <x:c r="T38" s="5" t="n">
        <x:v>46259.656174372314</x:v>
      </x:c>
      <x:c r="U38" s="35" t="str">
        <x:f t="shared" si="4"/>
      </x:c>
    </x:row>
    <x:row r="39" ht="46.650001525878906" customHeight="1">
      <x:c r="A39" s="8" t="str">
        <x:f t="shared" si="0"/>
      </x:c>
      <x:c r="B39" s="4" t="inlineStr">
        <x:is>
          <x:t xml:space="preserve">Merchant</x:t>
        </x:is>
      </x:c>
      <x:c r="C39" s="4" t="inlineStr">
        <x:is>
          <x:t xml:space="preserve">ÙÙÙØ² Ø¨ÙÙØªÙ</x:t>
        </x:is>
      </x:c>
      <x:c r="D39" s="4" t="inlineStr">
        <x:is>
          <x:t xml:space="preserve">ÙØ³Ø±Ù Ø§ÙØ¹Ø±Ø¶ Ù Ù 2 ÙÙÙÙÙ 2025 Ø­ØªÙ 30 ÙÙÙÙ Ø¨Ø± 2026. Ø®ØµÙ 20% Ø¹ÙÙ Ø¬Ù ÙØ¹ Ø§ÙÙ ÙØªØ¬Ø§Øª Ø¨Ø¯ÙÙ Ø­Ø¯ Ø£ÙØµÙ Ø£Ù Ø£Ø¯ÙÙ ÙÙ Ø¨ÙØº Ø§ÙØ®ØµÙ .</x:t>
        </x:is>
      </x:c>
      <x:c r="E39" s="5"/>
      <x:c r="F39" s="5"/>
      <x:c r="G39" s="5"/>
      <x:c r="H39" s="7" t="str">
        <x:f t="shared" si="1"/>
      </x:c>
      <x:c r="I39" s="6" t="str">
        <x:f t="shared" si="2"/>
      </x:c>
      <x:c r="J39" s="4"/>
      <x:c r="K39" s="4"/>
      <x:c r="L39" s="4"/>
      <x:c r="M39" s="9" t="str">
        <x:f t="shared" si="3"/>
      </x:c>
      <x:c r="N39" s="4" t="inlineStr">
        <x:is>
          <x:t xml:space="preserve">https://mobilypay.sa/ar/offers/offer-11.html</x:t>
        </x:is>
      </x:c>
      <x:c r="O39" s="4"/>
      <x:c r="P39" s="4"/>
      <x:c r="Q39" s="4"/>
      <x:c r="R39" s="4"/>
      <x:c r="S39" s="4"/>
      <x:c r="T39" s="5" t="n">
        <x:v>46259.656174372314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0% fees on eligible international POS purchases and international ATM withdrawals outside Saudi Arabia.</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https://www.tiqmo.com/ar/offers</x:t>
        </x:is>
      </x:c>
      <x:c r="O13" s="63" t="inlineStr">
        <x:is>
          <x:t xml:space="preserve">https://www.instagram.com/p/DbQxYrrjfrH/</x:t>
        </x:is>
      </x:c>
      <x:c r="P13" s="63" t="inlineStr">
        <x:is>
          <x:t xml:space="preserve">https://x.com/tiqmo/status/2082496811798085847</x:t>
        </x:is>
      </x:c>
      <x:c r="Q13" s="63" t="inlineStr">
        <x:is>
          <x:t xml:space="preserve">https://www.facebook.com/Tiqmoksa/posts/sar-250000-cashbacksimple-every-riyal-you-spend-a-chance-to-win-sar-250000-every/1001313055996026/</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x:c r="C14" s="4"/>
      <x:c r="D14" s="4"/>
      <x:c r="E14" s="5"/>
      <x:c r="F14" s="5"/>
      <x:c r="G14" s="5"/>
      <x:c r="H14" s="7" t="n">
        <x:f t="shared" si="1">IF(OR(C14="",G14=""),"",G14-TODAY())</x:f>
        <x:v>-6</x:v>
      </x:c>
      <x:c r="I14" s="6" t="str">
        <x:f t="shared" si="2">IF(C14="","",IF(G14="","End Date Not Stated",IF(G14&lt;TODAY(),"Expired",IF(G14&lt;=TODAY()+7,"Expiring ≤7 Days",IF(G14&lt;=TODAY()+30,"Expiring 8–30 Days","Active")))))</x:f>
        <x:v>Expired</x:v>
      </x:c>
      <x:c r="J14" s="4"/>
      <x:c r="K14" s="4"/>
      <x:c r="L14" s="4"/>
      <x:c r="M14" s="9" t="str">
        <x:f t="shared" si="3">IF(C14="","",IF(N14&lt;&gt;"",N14,IF(O14&lt;&gt;"",O14,IF(P14&lt;&gt;"",P14,IF(Q14&lt;&gt;"",Q14,IF(R14&lt;&gt;"",R14,""))))))</x:f>
        <x:v>https://www.tiqmo.com/ar/offers</x:v>
      </x:c>
      <x:c r="N14" s="4"/>
      <x:c r="O14" s="4"/>
      <x:c r="P14" s="4"/>
      <x:c r="Q14" s="4"/>
      <x:c r="R14" s="4"/>
      <x:c r="S14" s="4"/>
      <x:c r="T14" s="5"/>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