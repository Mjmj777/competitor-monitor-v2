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<x:sst xmlns:x="http://schemas.openxmlformats.org/spreadsheetml/2006/main">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</x:sst>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12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12</c:v>
                </c:pt>
                <c:pt idx="2">
                  <c:v>20</c:v>
                </c:pt>
                <c:pt idx="3">
                  <c:v>13</c:v>
                </c:pt>
                <c:pt idx="4">
                  <c:v>14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67</c:v>
                </c:pt>
                <c:pt idx="1">
                  <c:v>49</c:v>
                </c:pt>
                <c:pt idx="2">
                  <c:v>3</c:v>
                </c:pt>
                <c:pt idx="3">
                  <c:v>13</c:v>
                </c:pt>
                <c:pt idx="4">
                  <c:v>26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15</c:v>
                </c:pt>
                <c:pt idx="2">
                  <c:v>23</c:v>
                </c:pt>
                <c:pt idx="3">
                  <c:v>14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13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12</x:v>
      </x:c>
    </x:row>
    <x:row r="3" ht="22" customHeight="1">
      <x:c r="A3" s="226" t="str">
        <x:v>Research Cut-off</x:v>
      </x:c>
      <x:c r="B3" s="227" t="n">
        <x:v>46288.55409273891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46288.55505508053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4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12</x:v>
      </x:c>
      <x:c r="E6" s="252"/>
      <x:c r="F6" s="211"/>
      <x:c r="G6" s="285" t="n">
        <x:f>SUM($Y$12:$AB$17)</x:f>
        <x:v>439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67</x:v>
      </x:c>
      <x:c r="AA12" s="289" t="n">
        <x:v>65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49</x:v>
      </x:c>
      <x:c r="AA13" s="289" t="n">
        <x:v>15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3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14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14</x:v>
      </x:c>
      <x:c r="Z16" s="289" t="n">
        <x:v>26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46288.0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46288.0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4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Weekly International Transfer Prizes – Up to SAR 20,000</x:t>
        </x:is>
      </x:c>
      <x:c r="D9" s="4" t="inlineStr">
        <x:is>
          <x:t xml:space="preserve">International transfers generate entries for weekly prizes of up to SAR 20,000.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Weekly prizes up to SAR 20,000; no minimum transfer stated in the post</x:t>
        </x:is>
      </x:c>
      <x:c r="L9" s="4" t="inlineStr">
        <x:is>
          <x:t xml:space="preserve">Mobily Pay international-transfer customers</x:t>
        </x:is>
      </x:c>
      <x:c r="M9" s="9" t="str">
        <x:f t="shared" ref="M9:M42" si="3">IF(C9="","",IF(N9&lt;&gt;"",N9,IF(O9&lt;&gt;"",O9,IF(P9&lt;&gt;"",P9,IF(Q9&lt;&gt;"",Q9,IF(R9&lt;&gt;"",R9,""))))))</x:f>
        <x:v>https://www.facebook.com/mobilypay/videos/sar-20000-is-waiting-for-you-make-an-international-transfer-with-mobilypay-and-i/4300117560266135/</x:v>
      </x:c>
      <x:c r="N9" s="63" t="inlineStr">
        <x:is>
          <x:t xml:space="preserve">https://www.facebook.com/mobilypay/videos/sar-20000-is-waiting-for-you-make-an-international-transfer-with-mobilypay-and-i/4300117560266135/</x:t>
        </x:is>
      </x:c>
      <x:c r="O9" s="63"/>
      <x:c r="P9" s="63"/>
      <x:c r="Q9" s="63" t="inlineStr">
        <x:is>
          <x:t xml:space="preserve">https://www.facebook.com/mobilypay/videos/sar-20000-is-waiting-for-you-make-an-international-transfer-with-mobilypay-and-i/4300117560266135/</x:t>
        </x:is>
      </x:c>
      <x:c r="R9" s="4"/>
      <x:c r="S9" s="4" t="inlineStr">
        <x:is>
          <x:t xml:space="preserve">Campaign end date is not stated in the official video.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Free International Transfer Fees</x:t>
        </x:is>
      </x:c>
      <x:c r="D10" s="4" t="inlineStr">
        <x:is>
          <x:t xml:space="preserve">Offer valid from 1 Aug until 31 Oct 2026. Transfer fees are (free) for transfers of SAR 1,000 or more.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38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https://mobilypay.sa/en/offers/offer-55.html</x:v>
      </x:c>
      <x:c r="N10" s="4" t="inlineStr">
        <x:is>
          <x:t xml:space="preserve">https://mobilypay.sa/en/offers/offer-55.html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