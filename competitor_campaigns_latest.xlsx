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<x:sst xmlns:x="http://schemas.openxmlformats.org/spreadsheetml/2006/main">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</x:sst>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2</c:v>
                </c:pt>
                <c:pt idx="1">
                  <c:v>6</c:v>
                </c:pt>
                <c:pt idx="2">
                  <c:v>5</c:v>
                </c:pt>
                <c:pt idx="3">
                  <c:v>5</c:v>
                </c:pt>
                <c:pt idx="4">
                  <c:v>3</c:v>
                </c:pt>
                <c:pt idx="5">
                  <c:v>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11</c:v>
                </c:pt>
                <c:pt idx="1">
                  <c:v>2</c:v>
                </c:pt>
                <c:pt idx="2">
                  <c:v>1</c:v>
                </c:pt>
                <c:pt idx="3">
                  <c:v>5</c:v>
                </c:pt>
                <c:pt idx="4">
                  <c:v>3</c:v>
                </c:pt>
                <c:pt idx="5">
                  <c:v>3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39</c:v>
                </c:pt>
                <c:pt idx="1">
                  <c:v>9</c:v>
                </c:pt>
                <c:pt idx="2">
                  <c:v>21</c:v>
                </c:pt>
                <c:pt idx="3">
                  <c:v>15</c:v>
                </c:pt>
                <c:pt idx="4">
                  <c:v>12</c:v>
                </c:pt>
                <c:pt idx="5">
                  <c:v>14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58</c:v>
                </c:pt>
                <c:pt idx="1">
                  <c:v>30</c:v>
                </c:pt>
                <c:pt idx="2">
                  <c:v>30</c:v>
                </c:pt>
                <c:pt idx="3">
                  <c:v>13</c:v>
                </c:pt>
                <c:pt idx="4">
                  <c:v>31</c:v>
                </c:pt>
                <c:pt idx="5">
                  <c:v>21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101</c:v>
                </c:pt>
                <c:pt idx="1">
                  <c:v>12</c:v>
                </c:pt>
                <c:pt idx="2">
                  <c:v>23</c:v>
                </c:pt>
                <c:pt idx="3">
                  <c:v>15</c:v>
                </c:pt>
                <c:pt idx="4">
                  <c:v>5</c:v>
                </c:pt>
                <c:pt idx="5">
                  <c:v>12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2</c:v>
                </c:pt>
                <c:pt idx="1">
                  <c:v>1</c:v>
                </c:pt>
                <c:pt idx="2">
                  <c:v>2</c:v>
                </c:pt>
                <c:pt idx="3">
                  <c:v>0</c:v>
                </c:pt>
                <c:pt idx="4">
                  <c:v>4</c:v>
                </c:pt>
                <c:pt idx="5">
                  <c:v>0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2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11</x:v>
      </x:c>
    </x:row>
    <x:row r="3" ht="22" customHeight="1">
      <x:c r="A3" s="226" t="str">
        <x:v>Research Cut-off</x:v>
      </x:c>
      <x:c r="B3" s="227" t="n">
        <x:v>46271.49612448779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46271.497132425924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6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2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5</x:v>
      </x:c>
      <x:c r="AA4" s="289" t="inlineStr">
        <x:is>
          <x:t xml:space="preserve">Mobily Pay</x:t>
        </x:is>
      </x:c>
      <x:c r="AB4" s="289" t="n">
        <x:v>3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5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5</x:v>
      </x:c>
    </x:row>
    <x:row r="6" ht="19" customHeight="1">
      <x:c r="A6" s="251" t="n">
        <x:f>SUM($Y$2:$Y$7)</x:f>
        <x:v>25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470</x:v>
      </x:c>
      <x:c r="H6" s="286"/>
      <x:c r="I6" s="211"/>
      <x:c r="J6" s="251" t="n">
        <x:f>$AE$12</x:f>
        <x:v>3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4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3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39</x:v>
      </x:c>
      <x:c r="Z12" s="289" t="n">
        <x:v>58</x:v>
      </x:c>
      <x:c r="AA12" s="289" t="n">
        <x:v>101</x:v>
      </x:c>
      <x:c r="AB12" s="289" t="n">
        <x:v>2</x:v>
      </x:c>
      <x:c r="AD12" s="289" t="inlineStr">
        <x:is>
          <x:t xml:space="preserve">Expiring ≤30 Days</x:t>
        </x:is>
      </x:c>
      <x:c r="AE12" s="289" t="n">
        <x:v>3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9</x:v>
      </x:c>
      <x:c r="Z13" s="289" t="n">
        <x:v>30</x:v>
      </x:c>
      <x:c r="AA13" s="289" t="n">
        <x:v>12</x:v>
      </x:c>
      <x:c r="AB13" s="289" t="n">
        <x:v>1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21</x:v>
      </x:c>
      <x:c r="Z14" s="289" t="n">
        <x:v>30</x:v>
      </x:c>
      <x:c r="AA14" s="289" t="n">
        <x:v>23</x:v>
      </x:c>
      <x:c r="AB14" s="289" t="n">
        <x:v>2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15</x:v>
      </x:c>
      <x:c r="Z15" s="289" t="n">
        <x:v>13</x:v>
      </x:c>
      <x:c r="AA15" s="289" t="n">
        <x:v>15</x:v>
      </x:c>
      <x:c r="AB15" s="289" t="n">
        <x:v>0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12</x:v>
      </x:c>
      <x:c r="Z16" s="289" t="n">
        <x:v>31</x:v>
      </x:c>
      <x:c r="AA16" s="289" t="n">
        <x:v>5</x:v>
      </x:c>
      <x:c r="AB16" s="289" t="n">
        <x:v>4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14</x:v>
      </x:c>
      <x:c r="Z17" s="289" t="n">
        <x:v>21</x:v>
      </x:c>
      <x:c r="AA17" s="289" t="n">
        <x:v>12</x:v>
      </x:c>
      <x:c r="AB17" s="289" t="n">
        <x:v>0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31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2</x:v>
      </x:c>
      <x:c r="B5" s="53"/>
      <x:c r="C5" s="53"/>
      <x:c r="D5" s="53" t="n">
        <x:f>COUNTIFS('STC Bank'!$C$9:$C$500,"&lt;&gt;",'STC Bank'!$I$9:$I$500,"End Date Not Stated")</x:f>
        <x:v>0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1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46314.0</x:v>
      </x:c>
      <x:c r="H9" s="7" t="n">
        <x:f t="shared" ref="H9:H53" si="1">IF(OR(C9="",G9=""),"",G9-TODAY())</x:f>
        <x:v>43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Active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21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Targeted Cash Reward on International Purchases</x:t>
        </x:is>
      </x:c>
      <x:c r="D10" s="4" t="inlineStr">
        <x:is>
          <x:t xml:space="preserve">Selected customers can earn a cash amount after meeting the international-spend requirement stated in an STC Bank SMS.</x:t>
        </x:is>
      </x:c>
      <x:c r="E10" s="5"/>
      <x:c r="F10" s="5" t="n">
        <x:v>46240.0</x:v>
      </x:c>
      <x:c r="G10" s="5" t="n">
        <x:v>46297.0</x:v>
      </x:c>
      <x:c r="H10" s="7" t="n">
        <x:f t="shared" si="1">IF(OR(C10="",G10=""),"",G10-TODAY())</x:f>
        <x:v>26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8–30 Days</x:v>
      </x:c>
      <x:c r="J10" s="4" t="inlineStr">
        <x:is>
          <x:t xml:space="preserve">International POS and e-commerce purchases</x:t>
        </x:is>
      </x:c>
      <x:c r="K10" s="4" t="inlineStr">
        <x:is>
          <x:t xml:space="preserve">Cash amount specified in the customer SMS after meeting the stated minimum spend</x:t>
        </x:is>
      </x:c>
      <x:c r="L10" s="4" t="inlineStr">
        <x:is>
          <x:t xml:space="preserve">Selected customers who received the offer SMS; STC Bank Visa payment cards (Classic, Platinum, Signature), digital or physical</x:t>
        </x:is>
      </x:c>
      <x:c r="M10" s="9" t="str">
        <x:f>IF(C10="","",IF(N10&lt;&gt;"",N10,IF(O10&lt;&gt;"",O10,IF(P10&lt;&gt;"",P10,IF(Q10&lt;&gt;"",Q10,IF(R10&lt;&gt;"",R10,""))))))</x:f>
        <x:v>https://stcbank.com.sa/en/web/guest/w/blt-cash</x:v>
      </x:c>
      <x:c r="N10" s="63" t="inlineStr">
        <x:is>
          <x:t xml:space="preserve">https://stcbank.com.sa/en/web/guest/w/blt-cash</x:t>
        </x:is>
      </x:c>
      <x:c r="O10" s="4"/>
      <x:c r="P10" s="4"/>
      <x:c r="Q10" s="63"/>
      <x:c r="R10" s="4"/>
      <x:c r="S10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10" s="8" t="n">
        <x:v>0</x:v>
      </x:c>
      <x:c r="U10" s="35"/>
    </x:row>
    <x:row r="11" ht="46.650001525878906" customHeight="1">
      <x:c r="A11" s="8">
        <x:f t="shared" si="0">IF(C11="","",ROW()-8)</x:f>
      </x:c>
      <x:c r="B11" s="4"/>
      <x:c r="C11" s="4"/>
      <x:c r="D11" s="4"/>
      <x:c r="E11" s="5"/>
      <x:c r="F11" s="5"/>
      <x:c r="G11" s="5"/>
      <x:c r="H11" s="7">
        <x:f t="shared" si="1">IF(OR(C11="",G11=""),"",G11-TODAY())</x:f>
      </x:c>
      <x:c r="I11" s="6">
        <x:f t="shared" si="2">IF(C11="","",IF(G11="","End Date Not Stated",IF(G11&lt;TODAY(),"Expired",IF(G11&lt;=TODAY()+7,"Expiring ≤7 Days",IF(G11&lt;=TODAY()+30,"Expiring 8–30 Days","Active")))))</x:f>
      </x:c>
      <x:c r="J11" s="4"/>
      <x:c r="K11" s="4"/>
      <x:c r="L11" s="4"/>
      <x:c r="M11" s="9">
        <x:f t="shared" ref="M11:M53" si="4">IF(C11="","",IF(N11&lt;&gt;"",N11,IF(O11&lt;&gt;"",O11,IF(P11&lt;&gt;"",P11,IF(Q11&lt;&gt;"",Q11,IF(R11&lt;&gt;"",R11,""))))))</x:f>
      </x:c>
      <x:c r="N11" s="63"/>
      <x:c r="O11" s="4"/>
      <x:c r="P11" s="4"/>
      <x:c r="Q11" s="4"/>
      <x:c r="R11" s="4"/>
      <x:c r="S11" s="4"/>
      <x:c r="T11" s="5"/>
      <x:c r="U11" s="35"/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4">IF(C12="","",IF(N12&lt;&gt;"",N12,IF(O12&lt;&gt;"",O12,IF(P12&lt;&gt;"",P12,IF(Q12&lt;&gt;"",Q12,IF(R12&lt;&gt;"",R12,""))))))</x:f>
      </x:c>
      <x:c r="N12" s="4"/>
      <x:c r="O12" s="63"/>
      <x:c r="P12" s="63"/>
      <x:c r="Q12" s="63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56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6</x:v>
      </x:c>
      <x:c r="B5" s="53"/>
      <x:c r="C5" s="53"/>
      <x:c r="D5" s="53" t="n">
        <x:f>COUNTIFS('barq'!$C$9:$C$500,"&lt;&gt;",'barq'!$I$9:$I$500,"End Date Not Stated")</x:f>
        <x:v>6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 t="inlineStr">
        <x:is>
          <x:t xml:space="preserve">https://www.instagram.com/reel/DYxvJOWiZY5/</x:t>
        </x:is>
      </x:c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8" t="n">
        <x:v>2</x:v>
      </x:c>
      <x:c r="U9" s="35" t="inlineStr">
        <x:is>
          <x:t xml:space="preserve">Instagram,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FX Rate Awareness Campaign</x:t>
        </x:is>
      </x:c>
      <x:c r="D10" s="4"/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/ FX rate awareness</x:t>
        </x:is>
      </x:c>
      <x:c r="K10" s="4" t="inlineStr">
        <x:is>
          <x:t xml:space="preserve">All barq customers using international transfers</x:t>
        </x:is>
      </x:c>
      <x:c r="L10" s="4" t="inlineStr">
        <x:is>
          <x:t xml:space="preserve">Educational campaign explaining exchange rates and how they affect the received amount in international transfers.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https://www.instagram.com/reel/DaaydiADUvg/?utm_source=ig_web_button_share_sheet&amp;igsh=MzRlODBiNWFlZA==</x:v>
      </x:c>
      <x:c r="N10" s="4" t="inlineStr">
        <x:is>
          <x:t xml:space="preserve">https://www.instagram.com/reel/DaaydiADUvg/?utm_source=ig_web_button_share_sheet&amp;igsh=MzRlODBiNWFlZA==</x:t>
        </x:is>
      </x:c>
      <x:c r="O10" s="4" t="inlineStr">
        <x:is>
          <x:t xml:space="preserve">https://www.instagram.com/reel/DaaydiADUvg/?utm_source=ig_web_button_share_sheet&amp;igsh=MzRlODBiNWFlZA==</x:t>
        </x:is>
      </x:c>
      <x:c r="P10" s="4"/>
      <x:c r="Q10" s="63"/>
      <x:c r="R10" s="4"/>
      <x:c r="S10" s="4"/>
      <x:c r="T10" s="8" t="n">
        <x:v>1</x:v>
      </x:c>
      <x:c r="U10" s="35" t="inlineStr">
        <x:is>
          <x:t xml:space="preserve">Instagram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Engagement</x:t>
        </x:is>
      </x:c>
      <x:c r="C11" s="4" t="inlineStr">
        <x:is>
          <x:t xml:space="preserve">Prediction Game</x:t>
        </x:is>
      </x:c>
      <x:c r="D11" s="4" t="inlineStr">
        <x:is>
          <x:t xml:space="preserve">In-app match prediction game with a prize pool of up to SAR 500,000.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In-app sports engagement</x:t>
        </x:is>
      </x:c>
      <x:c r="K11" s="4" t="inlineStr">
        <x:is>
          <x:t xml:space="preserve">Prediction game with prizes worth up to SAR 500,000</x:t>
        </x:is>
      </x:c>
      <x:c r="L11" s="4" t="inlineStr">
        <x:is>
          <x:t xml:space="preserve">barq app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https://www.facebook.com/usebarq/posts/update-your-barq-app-and-join-the-prediction-game-win-your-share-of-prizes-worth/122197690844385166/</x:v>
      </x:c>
      <x:c r="N11" s="4" t="inlineStr">
        <x:is>
          <x:t xml:space="preserve">https://www.facebook.com/usebarq/posts/update-your-barq-app-and-join-the-prediction-game-win-your-share-of-prizes-worth/122197690844385166/</x:t>
        </x:is>
      </x:c>
      <x:c r="O11" s="4"/>
      <x:c r="P11" s="4"/>
      <x:c r="Q11" s="63" t="inlineStr">
        <x:is>
          <x:t xml:space="preserve">https://www.facebook.com/usebarq/posts/update-your-barq-app-and-join-the-prediction-game-win-your-share-of-prizes-worth/122197690844385166/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 t="inlineStr">
        <x:is>
          <x:t xml:space="preserve">https://www.instagram.com/p/Dazzjtdt1Jt/?utm_source=ig_web_button_share_sheet&amp;igsh=MzRlODBiNWFlZA==</x:t>
        </x:is>
      </x:c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 t="n">
        <x:v>46229.53383101852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Other</x:t>
        </x:is>
      </x:c>
      <x:c r="C14" s="4" t="inlineStr">
        <x:is>
          <x:t xml:space="preserve">حملة الصيف \ مارثون برق</x:t>
        </x:is>
      </x:c>
      <x:c r="D14" s="4" t="inlineStr">
        <x:is>
          <x:t xml:space="preserve">تستمر الحملة لمدة تسعة و اربعون (49) يومًا تقويميًا. الأسبوع الأول: ابتداءً من يوم الاحد 24 مايو 2026 الساعة 12:00 مساءً وحتى يوم الاحد 31 مايو 2026 الساعة 11:00 مساءً.</x:t>
        </x:is>
      </x:c>
      <x:c r="E14" s="5"/>
      <x:c r="F14" s="5" t="n">
        <x:v>46166.0</x:v>
      </x:c>
      <x:c r="G14" s="5"/>
      <x:c r="H14" s="7">
        <x:f t="shared" si="1">IF(OR(C14="",G14=""),"",G14-TODAY())</x:f>
      </x:c>
      <x:c r="I14" s="6" t="str">
        <x:f t="shared" si="2">IF(C14="","",IF(G14="","End Date Not Stated",IF(G14&lt;TODAY(),"Expired",IF(G14&lt;=TODAY()+7,"Expiring ≤7 Days",IF(G14&lt;=TODAY()+30,"Expiring 8–30 Days","Active")))))</x:f>
        <x:v>End Date Not Stated</x:v>
      </x:c>
      <x:c r="J14" s="4"/>
      <x:c r="K14" s="4"/>
      <x:c r="L14" s="4"/>
      <x:c r="M14" s="9" t="str">
        <x:f t="shared" si="4">IF(C14="","",IF(N14&lt;&gt;"",N14,IF(O14&lt;&gt;"",O14,IF(P14&lt;&gt;"",P14,IF(Q14&lt;&gt;"",Q14,IF(R14&lt;&gt;"",R14,""))))))</x:f>
        <x:v>https://barq.com/ar/offers/%d8%ad%d9%85%d9%84%d8%a9-%d8%a7%d9%84%d8%b5%d9%8a%d9%81/</x:v>
      </x:c>
      <x:c r="N14" s="4" t="inlineStr">
        <x:is>
          <x:t xml:space="preserve">https://barq.com/ar/offers/%d8%ad%d9%85%d9%84%d8%a9-%d8%a7%d9%84%d8%b5%d9%8a%d9%81/</x:t>
        </x:is>
      </x:c>
      <x:c r="O14" s="63"/>
      <x:c r="P14" s="4"/>
      <x:c r="Q14" s="4"/>
      <x:c r="R14" s="4"/>
      <x:c r="S14" s="4"/>
      <x:c r="T14" s="8" t="n">
        <x:v>0</x:v>
      </x:c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38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5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Cashback and Miles</x:t>
        </x:is>
      </x:c>
      <x:c r="D9" s="4" t="inlineStr">
        <x:is>
          <x:t xml:space="preserve">The offer is valid until 30 September 2026. The offer applies when paying with the following cards Mobily Pay (Platinum and Signature).</x:t>
        </x:is>
      </x:c>
      <x:c r="E9" s="5"/>
      <x:c r="F9" s="5" t="n">
        <x:v>46265.37844901162</x:v>
      </x:c>
      <x:c r="G9" s="5" t="n">
        <x:v>46295.0</x:v>
      </x:c>
      <x:c r="H9" s="7" t="n">
        <x:f t="shared" ref="H9:H42" si="1">IF(OR(C9="",G9=""),"",G9-TODAY())</x:f>
        <x:v>24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8–30 Days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https://mobilypay.sa/en/offers/offer-60.html</x:v>
      </x:c>
      <x:c r="N9" s="63" t="inlineStr">
        <x:is>
          <x:t xml:space="preserve">https://mobilypay.sa/en/offers/offer-60.html</x:t>
        </x:is>
      </x:c>
      <x:c r="O9" s="63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Weekly International Transfer Prizes – Up to SAR 20,000</x:t>
        </x:is>
      </x:c>
      <x:c r="D10" s="4" t="inlineStr">
        <x:is>
          <x:t xml:space="preserve">International transfers generate entries for weekly prizes of up to SAR 20,000.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</x:t>
        </x:is>
      </x:c>
      <x:c r="K10" s="4" t="inlineStr">
        <x:is>
          <x:t xml:space="preserve">Weekly prizes up to SAR 20,000; no minimum transfer stated in the post</x:t>
        </x:is>
      </x:c>
      <x:c r="L10" s="4" t="inlineStr">
        <x:is>
          <x:t xml:space="preserve">Mobily Pay international-transfer customers</x:t>
        </x:is>
      </x:c>
      <x:c r="M10" s="9" t="str">
        <x:f t="shared" si="3">IF(C10="","",IF(N10&lt;&gt;"",N10,IF(O10&lt;&gt;"",O10,IF(P10&lt;&gt;"",P10,IF(Q10&lt;&gt;"",Q10,IF(R10&lt;&gt;"",R10,""))))))</x:f>
        <x:v>https://www.facebook.com/mobilypay/videos/sar-20000-is-waiting-for-you-make-an-international-transfer-with-mobilypay-and-i/4300117560266135/</x:v>
      </x:c>
      <x:c r="N10" s="4" t="inlineStr">
        <x:is>
          <x:t xml:space="preserve">https://www.facebook.com/mobilypay/videos/sar-20000-is-waiting-for-you-make-an-international-transfer-with-mobilypay-and-i/4300117560266135/</x:t>
        </x:is>
      </x:c>
      <x:c r="O10" s="63"/>
      <x:c r="P10" s="4"/>
      <x:c r="Q10" s="63" t="inlineStr">
        <x:is>
          <x:t xml:space="preserve">https://www.facebook.com/mobilypay/videos/sar-20000-is-waiting-for-you-make-an-international-transfer-with-mobilypay-and-i/4300117560266135/</x:t>
        </x:is>
      </x:c>
      <x:c r="R10" s="4"/>
      <x:c r="S10" s="4" t="inlineStr">
        <x:is>
          <x:t xml:space="preserve">Campaign end date is not stated in the official video.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Zero-Fee International Transfers – Aug–Oct 2026</x:t>
        </x:is>
      </x:c>
      <x:c r="D11" s="4" t="inlineStr">
        <x:is>
          <x:t xml:space="preserve">Qualifying international transfers are offered with zero transfer fees under corridor and amount thresholds stated on the official campaign page.</x:t>
        </x:is>
      </x:c>
      <x:c r="E11" s="5"/>
      <x:c r="F11" s="5" t="n">
        <x:v>46235.0</x:v>
      </x:c>
      <x:c r="G11" s="5" t="n">
        <x:v>46326.0</x:v>
      </x:c>
      <x:c r="H11" s="7" t="n">
        <x:f t="shared" si="1">IF(OR(C11="",G11=""),"",G11-TODAY())</x:f>
        <x:v>55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International transfers through MoneyGram</x:t>
        </x:is>
      </x:c>
      <x:c r="K11" s="4" t="inlineStr">
        <x:is>
          <x:t xml:space="preserve">Zero transfer fees on qualifying transfers; standard SAR 9 fees apply below certain corridor/amount thresholds</x:t>
        </x:is>
      </x:c>
      <x:c r="L11" s="4" t="inlineStr">
        <x:is>
          <x:t xml:space="preserve">Mobily Pay customers; corridor, currency, amount threshold, VAT and MoneyGram terms apply</x:t>
        </x:is>
      </x:c>
      <x:c r="M11" s="9" t="str">
        <x:f t="shared" si="3">IF(C11="","",IF(N11&lt;&gt;"",N11,IF(O11&lt;&gt;"",O11,IF(P11&lt;&gt;"",P11,IF(Q11&lt;&gt;"",Q11,IF(R11&lt;&gt;"",R11,""))))))</x:f>
        <x:v>https://mobilypay.sa/en/offers/offer-56.html</x:v>
      </x:c>
      <x:c r="N11" s="4" t="inlineStr">
        <x:is>
          <x:t xml:space="preserve">https://mobilypay.sa/en/offers/offer-56.html</x:t>
        </x:is>
      </x:c>
      <x:c r="O11" s="4" t="inlineStr">
        <x:is>
          <x:t xml:space="preserve">https://www.instagram.com/reel/DZuhOEDFRNn/</x:t>
        </x:is>
      </x:c>
      <x:c r="P11" s="4"/>
      <x:c r="Q11" s="63" t="inlineStr">
        <x:is>
          <x:t xml:space="preserve">https://www.facebook.com/mobilypay/videos/transfer-now/829680072943900/</x:t>
        </x:is>
      </x:c>
      <x:c r="R11" s="4"/>
      <x:c r="S11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1" s="8" t="n">
        <x:v>2</x:v>
      </x:c>
      <x:c r="U11" s="35" t="inlineStr">
        <x:is>
          <x:t xml:space="preserve">Instagram,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Other</x:t>
        </x:is>
      </x:c>
      <x:c r="C12" s="4" t="inlineStr">
        <x:is>
          <x:t xml:space="preserve">EARN MILES WITH ALL MOBILY PAY SERVICES</x:t>
        </x:is>
      </x:c>
      <x:c r="D12" s="4" t="inlineStr">
        <x:is>
          <x:t xml:space="preserve">Offer is valid from 1 Feb 2025 until 30 Sep 2026. Offer includes only the services specified in the Miles Earning Schedule when using Mobily Pay App</x:t>
        </x:is>
      </x:c>
      <x:c r="E12" s="5"/>
      <x:c r="F12" s="5" t="n">
        <x:v>45689.0</x:v>
      </x:c>
      <x:c r="G12" s="5" t="n">
        <x:v>46295.0</x:v>
      </x:c>
      <x:c r="H12" s="7" t="n">
        <x:f t="shared" si="1">IF(OR(C12="",G12=""),"",G12-TODAY())</x:f>
        <x:v>24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8–30 Days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https://mobilypay.sa/en/offers/offer-7.html</x:v>
      </x:c>
      <x:c r="N12" s="4" t="inlineStr">
        <x:is>
          <x:t xml:space="preserve">https://mobilypay.sa/en/offers/offer-7.html</x:t>
        </x:is>
      </x:c>
      <x:c r="O12" s="4"/>
      <x:c r="P12" s="4"/>
      <x:c r="Q12" s="4"/>
      <x:c r="R12" s="4"/>
      <x:c r="S12" s="4"/>
      <x:c r="T12" s="8" t="n">
        <x:v>0</x:v>
      </x:c>
      <x:c r="U12" s="35"/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INTERNATIONAL TRANSFER TO PAKISTAN IS FREE</x:t>
        </x:is>
      </x:c>
      <x:c r="D13" s="4" t="inlineStr">
        <x:is>
          <x:t xml:space="preserve">Offer is valid from 8 Nov 2023 No fees are applied to international transfers to bank accounts or digital wallets in Pakistan.</x:t>
        </x:is>
      </x:c>
      <x:c r="E13" s="5"/>
      <x:c r="F13" s="5" t="n">
        <x:v>45238.0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/>
      <x:c r="K13" s="1"/>
      <x:c r="L13" s="4"/>
      <x:c r="M13" s="9" t="str">
        <x:f>IF(C13="","",IF(N13&lt;&gt;"",N13,IF(O13&lt;&gt;"",O13,IF(P13&lt;&gt;"",P13,IF(Q13&lt;&gt;"",Q13,IF(R13&lt;&gt;"",R13,""))))))</x:f>
        <x:v>https://mobilypay.sa/en/offers/offer-2.html</x:v>
      </x:c>
      <x:c r="N13" s="63" t="inlineStr">
        <x:is>
          <x:t xml:space="preserve">https://mobilypay.sa/en/offers/offer-2.html</x:t>
        </x:is>
      </x:c>
      <x:c r="O13" s="4"/>
      <x:c r="P13" s="63"/>
      <x:c r="Q13" s="63"/>
      <x:c r="R13" s="63"/>
      <x:c r="S13" s="4"/>
      <x:c r="T13" s="8" t="n">
        <x:v>0</x:v>
      </x:c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63"/>
      <x:c r="O14" s="63"/>
      <x:c r="P14" s="63"/>
      <x:c r="Q14" s="63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5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SADAD</x:t>
        </x:is>
      </x:c>
      <x:c r="C11" s="4" t="inlineStr">
        <x:is>
          <x:t xml:space="preserve">SADAD Daily Cashback</x:t>
        </x:is>
      </x:c>
      <x:c r="D11" s="4" t="inlineStr">
        <x:is>
          <x:t xml:space="preserve">Pay a SADAD bill for a daily chance to win SAR 1,000 cashback.</x:t>
        </x:is>
      </x:c>
      <x:c r="E11" s="5"/>
      <x:c r="F11" s="5" t="n">
        <x:v>46227.0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SADAD bill payments</x:t>
        </x:is>
      </x:c>
      <x:c r="K11" s="4" t="inlineStr">
        <x:is>
          <x:t xml:space="preserve">Daily draw for SAR 1,000 cashback</x:t>
        </x:is>
      </x:c>
      <x:c r="L11" s="4" t="inlineStr">
        <x:is>
          <x:t xml:space="preserve">tiqmo customers using SADAD</x:t>
        </x:is>
      </x:c>
      <x:c r="M11" s="9" t="str">
        <x:f t="shared" si="3">IF(C11="","",IF(N11&lt;&gt;"",N11,IF(O11&lt;&gt;"",O11,IF(P11&lt;&gt;"",P11,IF(Q11&lt;&gt;"",Q11,IF(R11&lt;&gt;"",R11,""))))))</x:f>
        <x:v>https://www.instagram.com/tiqmoksa/p/DbLZ9Yfj6dy/</x:v>
      </x:c>
      <x:c r="N11" s="4" t="inlineStr">
        <x:is>
          <x:t xml:space="preserve">https://www.instagram.com/tiqmoksa/p/DbLZ9Yfj6dy/</x:t>
        </x:is>
      </x:c>
      <x:c r="O11" s="4" t="inlineStr">
        <x:is>
          <x:t xml:space="preserve">https://www.instagram.com/tiqmoksa/p/DbLZ9Yfj6dy/</x:t>
        </x:is>
      </x:c>
      <x:c r="P11" s="63" t="inlineStr">
        <x:is>
          <x:t xml:space="preserve">https://x.com/tiqmo/status/2080654590756978954</x:t>
        </x:is>
      </x:c>
      <x:c r="Q11" s="4" t="inlineStr">
        <x:is>
          <x:t xml:space="preserve">https://www.facebook.com/Tiqmoksa/videos/sar-1000-cashback-every-daypay-your-bills-through-sadad-tiqmo-and-enter-the-dail/28285312344409396/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6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 t="n">
        <x:v>46223.66736111111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 t="inlineStr">
        <x:is>
          <x:t xml:space="preserve">https://www.instagram.com/p/DbBUcjiIHS1/</x:t>
        </x:is>
      </x:c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/>
      <x:c r="S12" s="4" t="inlineStr">
        <x:is>
          <x:t xml:space="preserve">Current official posts continue to promote Monthly Streak Rewards. The official post does not state a campaign end date.</x:t>
        </x:is>
      </x:c>
      <x:c r="T12" s="8" t="n">
        <x:v>5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116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https://tiqmo.com/en/offers</x:v>
      </x:c>
      <x:c r="N13" s="4" t="inlineStr">
        <x:is>
          <x:t xml:space="preserve">https://tiqmo.com/en/offers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https://x.com/tiqmo/status/2081409451844870239</x:t>
        </x:is>
      </x:c>
      <x:c r="Q13" s="63" t="inlineStr">
        <x:is>
          <x:t xml:space="preserve">https://www.facebook.com/Tiqmoksa/videos/1605667747644721/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8" t="n">
        <x:v>16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4</x:v>
      </x:c>
      <x:c r="B5" s="53"/>
      <x:c r="C5" s="53"/>
      <x:c r="D5" s="53" t="n">
        <x:f>COUNTIFS('alinma pay'!$C$9:$C$500,"&lt;&gt;",'alinma pay'!$I$9:$I$500,"End Date Not Stated")</x:f>
        <x:v>2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Transfers for SAR 5</x:t>
        </x:is>
      </x:c>
      <x:c r="D9" s="4" t="inlineStr">
        <x:is>
          <x:t xml:space="preserve">Flat SAR 5 transfer fee to multiple international corridors.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 through alinma pay Direct</x:t>
        </x:is>
      </x:c>
      <x:c r="K9" s="4" t="inlineStr">
        <x:is>
          <x:t xml:space="preserve">Flat SAR 5 transfer fee</x:t>
        </x:is>
      </x:c>
      <x:c r="L9" s="4" t="inlineStr">
        <x:is>
          <x:t xml:space="preserve">Transfers to listed destinations including the Philippines, Egypt, Bangladesh, Sri Lanka, Indonesia, Nepal, Jordan, and Morocco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https://www.instagram.com/alinmapay/p/CC_U-JDB6yh/</x:v>
      </x:c>
      <x:c r="N9" s="4" t="inlineStr">
        <x:is>
          <x:t xml:space="preserve">https://www.instagram.com/alinmapay/p/CC_U-JDB6yh/</x:t>
        </x:is>
      </x:c>
      <x:c r="O9" s="63" t="inlineStr">
        <x:is>
          <x:t xml:space="preserve">https://www.instagram.com/alinmapay/p/CC_U-JDB6yh/</x:t>
        </x:is>
      </x:c>
      <x:c r="P9" s="4" t="inlineStr">
        <x:is>
          <x:t xml:space="preserve">https://x.com/alinmapay/status/1978784486424035774</x:t>
        </x:is>
      </x:c>
      <x:c r="Q9" s="63" t="inlineStr">
        <x:is>
          <x:t xml:space="preserve">https://www.facebook.com/AlinmaPaySA/posts/lower-fees-easier-transfers-send-money-to-india-and-bangladesh-through-alinmapay/1606878421439989/</x:t>
        </x:is>
      </x:c>
      <x:c r="R9" s="4"/>
      <x:c r="S9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9" s="8" t="n">
        <x:v>3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https://www.facebook.com/AlinmaPaySA/posts/%EF%B8%8F-fees-gonetravel-anywhere-and-use-your-alinmapay-cashback-cards-without-worryin/1619335260194305/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Musaned</x:t>
        </x:is>
      </x:c>
      <x:c r="C11" s="4" t="inlineStr">
        <x:is>
          <x:t xml:space="preserve">كاش باك 100% على رواتب عمالتك المنزلية</x:t>
        </x:is>
      </x:c>
      <x:c r="D11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1" s="5"/>
      <x:c r="F11" s="5" t="n">
        <x:v>46220.50069444445</x:v>
      </x:c>
      <x:c r="G11" s="5" t="n">
        <x:v>46384.0</x:v>
      </x:c>
      <x:c r="H11" s="7" t="n">
        <x:f t="shared" si="1">IF(OR(C11="",G11=""),"",G11-TODAY())</x:f>
        <x:v>113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/>
      <x:c r="K11" s="4" t="inlineStr">
        <x:is>
          <x:t xml:space="preserve">Three winners receive 100% cashback up to SAR 1,000</x:t>
        </x:is>
      </x:c>
      <x:c r="L11" s="4" t="inlineStr">
        <x:is>
          <x:t xml:space="preserve">alinma pay customers transferring domestic-worker salaries through Musaned</x:t>
        </x:is>
      </x:c>
      <x:c r="M11" s="9" t="str">
        <x:f t="shared" si="3">IF(C11="","",IF(N11&lt;&gt;"",N11,IF(O11&lt;&gt;"",O11,IF(P11&lt;&gt;"",P11,IF(Q11&lt;&gt;"",Q11,IF(R11&lt;&gt;"",R11,""))))))</x:f>
        <x:v>https://www.alinmapay.com.sa/Offers/Musaned-Cashback</x:v>
      </x:c>
      <x:c r="N11" s="4" t="inlineStr">
        <x:is>
          <x:t xml:space="preserve">https://www.alinmapay.com.sa/Offers/Musaned-Cashback</x:t>
        </x:is>
      </x:c>
      <x:c r="O11" s="63" t="inlineStr">
        <x:is>
          <x:t xml:space="preserve">https://www.instagram.com/alinmapay/p/DbqaY05mm9E/</x:t>
        </x:is>
      </x:c>
      <x:c r="P11" s="4" t="inlineStr">
        <x:is>
          <x:t xml:space="preserve">['https://x.com/alinmapay/status/2082127730972176680', 'https://x.com/alinmapay/status/2085018248685232195']</x:t>
        </x:is>
      </x:c>
      <x:c r="Q11" s="63" t="inlineStr">
        <x:is>
          <x:t xml:space="preserve">https://m.facebook.com/AlinmaPaySA/posts/pfbid02qzFxmfE6Ajm5LhhKy4EVeNqAVycQERoEyiAKqjyHfBhKQ13AdTQGqE9Wcrs39Fucl</x:t>
        </x:is>
      </x:c>
      <x:c r="R11" s="4"/>
      <x:c r="S11" s="4"/>
      <x:c r="T11" s="8" t="n">
        <x:v>7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عرض الهند على رسوم التحويلات الدولية</x:t>
        </x:is>
      </x:c>
      <x:c r="D12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12" s="5"/>
      <x:c r="F12" s="5" t="n">
        <x:v>46068.0</x:v>
      </x:c>
      <x:c r="G12" s="5" t="n">
        <x:v>46387.0</x:v>
      </x:c>
      <x:c r="H12" s="7" t="n">
        <x:f t="shared" si="1">IF(OR(C12="",G12=""),"",G12-TODAY())</x:f>
        <x:v>116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/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https://www.alinmapay.com.sa/Offers/India-Transfer-Fee-Offer-Aug26</x:v>
      </x:c>
      <x:c r="N12" s="4" t="inlineStr">
        <x:is>
          <x:t xml:space="preserve">https://www.alinmapay.com.sa/Offers/India-Transfer-Fee-Offer-Aug26</x:t>
        </x:is>
      </x:c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 t="inlineStr">
        <x:is>
          <x:t xml:space="preserve">https://www.tiktok.com/@alinmapay/video/7586667265882443024</x:t>
        </x:is>
      </x:c>
      <x:c r="S12" s="4"/>
      <x:c r="T12" s="8" t="n">
        <x:v>2</x:v>
      </x:c>
      <x:c r="U12" s="35" t="inlineStr">
        <x:is>
          <x:t xml:space="preserve">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/>
      </x:c>
      <x:c r="B14" s="4"/>
      <x:c r="C14" s="4"/>
      <x:c r="D14" s="4"/>
      <x:c r="E14" s="5"/>
      <x:c r="F14" s="5"/>
      <x:c r="G14" s="5"/>
      <x:c r="H14" s="7">
        <x:f t="shared" si="1"/>
      </x:c>
      <x:c r="I14" s="6">
        <x:f t="shared" si="2"/>
      </x:c>
      <x:c r="J14" s="4"/>
      <x:c r="K14" s="4"/>
      <x:c r="L14" s="4"/>
      <x:c r="M14" s="9">
        <x:f t="shared" si="3"/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