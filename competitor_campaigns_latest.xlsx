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<x:sst xmlns:x="http://schemas.openxmlformats.org/spreadsheetml/2006/main">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</x:sst>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8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23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9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46</c:v>
                </c:pt>
                <c:pt idx="1">
                  <c:v>39</c:v>
                </c:pt>
                <c:pt idx="2">
                  <c:v>31</c:v>
                </c:pt>
                <c:pt idx="3">
                  <c:v>11</c:v>
                </c:pt>
                <c:pt idx="4">
                  <c:v>36</c:v>
                </c:pt>
                <c:pt idx="5">
                  <c:v>15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45</c:v>
                </c:pt>
                <c:pt idx="1">
                  <c:v>16</c:v>
                </c:pt>
                <c:pt idx="2">
                  <c:v>25</c:v>
                </c:pt>
                <c:pt idx="3">
                  <c:v>15</c:v>
                </c:pt>
                <c:pt idx="4">
                  <c:v>15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  <c:pt idx="4">
                  <c:v>6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46261.45845235808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46261.45950921323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406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8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6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23</x:v>
      </x:c>
      <x:c r="Z12" s="289" t="n">
        <x:v>46</x:v>
      </x:c>
      <x:c r="AA12" s="289" t="n">
        <x:v>45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39</x:v>
      </x:c>
      <x:c r="AA13" s="289" t="n">
        <x:v>16</x:v>
      </x:c>
      <x:c r="AB13" s="289" t="n">
        <x:v>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31</x:v>
      </x:c>
      <x:c r="AA14" s="289" t="n">
        <x:v>25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11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36</x:v>
      </x:c>
      <x:c r="AA16" s="289" t="n">
        <x:v>15</x:v>
      </x:c>
      <x:c r="AB16" s="289" t="n">
        <x:v>6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15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8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5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 t="n">
        <x:v>46257.597916666666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/>
      <x:c r="P9" s="4"/>
      <x:c r="Q9" s="63"/>
      <x:c r="R9" s="4"/>
      <x:c r="S9" s="4"/>
      <x:c r="T9" s="8" t="n">
        <x:v>2</x:v>
      </x:c>
      <x:c r="U9" s="35" t="inlineStr">
        <x:is>
          <x:t xml:space="preserve">Instagram, X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Zero-Fee International Transfers</x:t>
        </x:is>
      </x:c>
      <x:c r="D13" s="4" t="inlineStr">
        <x:is>
          <x:t xml:space="preserve">Fee-free international transfers to selected destinations and payout channels.</x:t>
        </x:is>
      </x:c>
      <x:c r="E13" s="5"/>
      <x:c r="F13" s="5" t="n">
        <x:v>46240.0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Zero transfer fees on eligible transfers</x:t>
        </x:is>
      </x:c>
      <x:c r="L13" s="4" t="inlineStr">
        <x:is>
          <x:t xml:space="preserve">barq customers; destination and payout-channel terms apply</x:t>
        </x:is>
      </x:c>
      <x:c r="M13" s="9" t="str">
        <x:f t="shared" si="4">IF(C13="","",IF(N13&lt;&gt;"",N13,IF(O13&lt;&gt;"",O13,IF(P13&lt;&gt;"",P13,IF(Q13&lt;&gt;"",Q13,IF(R13&lt;&gt;"",R13,""))))))</x:f>
        <x:v>https://www.instagram.com/p/Dazzjtdt1Jt/?utm_source=ig_web_button_share_sheet&amp;igsh=MzRlODBiNWFlZA==</x:v>
      </x:c>
      <x:c r="N13" s="4" t="inlineStr">
        <x:is>
          <x:t xml:space="preserve">https://www.instagram.com/p/Dazzjtdt1Jt/?utm_source=ig_web_button_share_sheet&amp;igsh=MzRlODBiNWFlZA==</x:t>
        </x:is>
      </x:c>
      <x:c r="O13" s="63" t="inlineStr">
        <x:is>
          <x:t xml:space="preserve">https://www.instagram.com/p/Dazzjtdt1Jt/?utm_source=ig_web_button_share_sheet&amp;igsh=MzRlODBiNWFlZA==</x:t>
        </x:is>
      </x:c>
      <x:c r="P13" s="63"/>
      <x:c r="Q13" s="63" t="inlineStr">
        <x:is>
          <x:t xml:space="preserve">https://www.facebook.com/usebarq/videos/barq-transfer-fast-and-free/1218272083516944/</x:t>
        </x:is>
      </x:c>
      <x:c r="R13" s="63"/>
      <x:c r="S13" s="4" t="inlineStr">
        <x:is>
          <x:t xml:space="preserve">Current official posts in early August continue to promote fast, fee-free international transfers. No campaign end date is stated.</x:t>
        </x:is>
      </x:c>
      <x:c r="T13" s="8" t="n">
        <x:v>2</x:v>
      </x:c>
      <x:c r="U13" s="35" t="inlineStr">
        <x:is>
          <x:t xml:space="preserve">Instagram,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Travel Fees with barq Visa</x:t>
        </x:is>
      </x:c>
      <x:c r="D14" s="4" t="inlineStr">
        <x:is>
          <x:t xml:space="preserve">Use your barq card while travelling and barq covers the applicable travel fees.</x:t>
        </x:is>
      </x:c>
      <x:c r="E14" s="5"/>
      <x:c r="F14" s="5" t="n">
        <x:v>46229.53383101852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card spending / Travel card usage Mechanic / Offer: Travel-related card fees covered by barq Eligibility / Product: barq cardholders</x:t>
        </x:is>
      </x:c>
      <x:c r="K14" s="4"/>
      <x:c r="L14" s="4"/>
      <x:c r="M14" s="9" t="str">
        <x:f t="shared" si="4">IF(C14="","",IF(N14&lt;&gt;"",N14,IF(O14&lt;&gt;"",O14,IF(P14&lt;&gt;"",P14,IF(Q14&lt;&gt;"",Q14,IF(R14&lt;&gt;"",R14,""))))))</x:f>
        <x:v>https://www.instagram.com/p/DbAtiuQNGlf/</x:v>
      </x:c>
      <x:c r="N14" s="4" t="inlineStr">
        <x:is>
          <x:t xml:space="preserve">https://www.instagram.com/p/DbAtiuQNGlf/</x:t>
        </x:is>
      </x:c>
      <x:c r="O14" s="63" t="inlineStr">
        <x:is>
          <x:t xml:space="preserve">https://www.instagram.com/p/DbAtiuQNGlf/</x:t>
        </x:is>
      </x:c>
      <x:c r="P14" s="4" t="inlineStr">
        <x:is>
          <x:t xml:space="preserve">https://x.com/barq/status/2078084305327206575</x:t>
        </x:is>
      </x:c>
      <x:c r="Q14" s="4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4" s="4" t="inlineStr">
        <x:is>
          <x:t xml:space="preserve">https://www.tiktok.com/@barq/video/7666817781014252821?is_from_webapp=1&amp;sender_device=pc&amp;web_id=7646835061455799828</x:t>
        </x:is>
      </x:c>
      <x:c r="S14" s="4" t="inlineStr">
        <x:is>
          <x:t xml:space="preserve">Current official posts continue to position barq Visa as having no international transaction fees. No campaign end date is stated.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19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126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8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Musaned Salary Transfer – 100% Cashback Draw</x:t>
        </x:is>
      </x:c>
      <x:c r="D12" s="4" t="inlineStr">
        <x:is>
          <x:t xml:space="preserve">Transfer a domestic worker's salary through Musaned in alinma pay for a chance to win 100% cashback.</x:t>
        </x:is>
      </x:c>
      <x:c r="E12" s="5"/>
      <x:c r="F12" s="5" t="n">
        <x:v>46239.0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Domestic worker salary transfer through Musaned</x:t>
        </x:is>
      </x:c>
      <x:c r="K12" s="4" t="inlineStr">
        <x:is>
          <x:t xml:space="preserve">Three winners receive 100% cashback up to SAR 1,000</x:t>
        </x:is>
      </x:c>
      <x:c r="L12" s="4" t="inlineStr">
        <x:is>
          <x:t xml:space="preserve">alinma pay customers transferring domestic-worker salaries through Musaned</x:t>
        </x:is>
      </x:c>
      <x:c r="M12" s="9" t="str">
        <x:f t="shared" si="3">IF(C12="","",IF(N12&lt;&gt;"",N12,IF(O12&lt;&gt;"",O12,IF(P12&lt;&gt;"",P12,IF(Q12&lt;&gt;"",Q12,IF(R12&lt;&gt;"",R12,""))))))</x:f>
        <x:v>https://www.instagram.com/alinmapay/p/DbqaY05mm9E/</x:v>
      </x:c>
      <x:c r="N12" s="4" t="inlineStr">
        <x:is>
          <x:t xml:space="preserve">https://www.instagram.com/alinmapay/p/DbqaY05mm9E/</x:t>
        </x:is>
      </x:c>
      <x:c r="O12" s="4" t="inlineStr">
        <x:is>
          <x:t xml:space="preserve">https://www.instagram.com/alinmapay/p/DbqaY05mm9E/</x:t>
        </x:is>
      </x:c>
      <x:c r="P12" s="4" t="inlineStr">
        <x:is>
          <x:t xml:space="preserve">https://x.com/alinmapay/status/2085018248685232195</x:t>
        </x:is>
      </x:c>
      <x:c r="Q12" s="63"/>
      <x:c r="R12" s="4"/>
      <x:c r="S12" s="4" t="inlineStr">
        <x:is>
          <x:t xml:space="preserve">Official Instagram and X posts announce three winners, each receiving 100% cashback up to SAR 1,000. The campaign end date is not stated.</x:t>
        </x:is>
      </x:c>
      <x:c r="T12" s="8" t="n">
        <x:v>2</x:v>
      </x:c>
      <x:c r="U12" s="35" t="inlineStr">
        <x:is>
          <x:t xml:space="preserve">Instagram, X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كاش باك 100% على رواتب عمالتك المنزلية</x:t>
        </x:is>
      </x:c>
      <x:c r="D13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3" s="5"/>
      <x:c r="F13" s="5" t="n">
        <x:v>46231.64892361111</x:v>
      </x:c>
      <x:c r="G13" s="5" t="n">
        <x:v>46384.0</x:v>
      </x:c>
      <x:c r="H13" s="7" t="n">
        <x:f t="shared" si="1">IF(OR(C13="",G13=""),"",G13-TODAY())</x:f>
        <x:v>123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/>
      <x:c r="L13" s="4"/>
      <x:c r="M13" s="9" t="str">
        <x:f t="shared" si="3">IF(C13="","",IF(N13&lt;&gt;"",N13,IF(O13&lt;&gt;"",O13,IF(P13&lt;&gt;"",P13,IF(Q13&lt;&gt;"",Q13,IF(R13&lt;&gt;"",R13,""))))))</x:f>
        <x:v>https://www.alinmapay.com.sa/Offers/Musaned-Cashback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https://www.instagram.com/p/DbqaY05mm9E</x:t>
        </x:is>
      </x:c>
      <x:c r="P13" s="4" t="inlineStr">
        <x:is>
          <x:t xml:space="preserve">https://x.com/alinmapay/status/2082127730972176680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/>
      <x:c r="T13" s="8" t="n">
        <x:v>4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Other</x:t>
        </x:is>
      </x:c>
      <x:c r="C14" s="4" t="inlineStr">
        <x:is>
          <x:t xml:space="preserve">عرض اليمن: كاش باك 5 ريال</x:t>
        </x:is>
      </x:c>
      <x:c r="D14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14" s="5"/>
      <x:c r="F14" s="5" t="n">
        <x:v>46230.0</x:v>
      </x:c>
      <x:c r="G14" s="5" t="n">
        <x:v>46261.0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https://www.alinmapay.com.sa/Offers/Yemen-Cashback-5SAR</x:v>
      </x:c>
      <x:c r="N14" s="4" t="inlineStr">
        <x:is>
          <x:t xml:space="preserve">https://www.alinmapay.com.sa/Offers/Yemen-Cashback-5SAR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Card</x:t>
        </x:is>
      </x:c>
      <x:c r="C15" s="4" t="inlineStr">
        <x:is>
          <x:t xml:space="preserve">صفر رسوم على المشتريات الدولية</x:t>
        </x:is>
      </x:c>
      <x:c r="D15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5" s="5"/>
      <x:c r="F15" s="5" t="n">
        <x:v>46197.0</x:v>
      </x:c>
      <x:c r="G15" s="5" t="n">
        <x:v>46265.0</x:v>
      </x:c>
      <x:c r="H15" s="7" t="n">
        <x:f t="shared" si="1"/>
        <x:v>4</x:v>
      </x:c>
      <x:c r="I15" s="6" t="str">
        <x:f t="shared" si="2"/>
        <x:v>Expiring ≤7 Days</x:v>
      </x:c>
      <x:c r="J15" s="4"/>
      <x:c r="K15" s="4"/>
      <x:c r="L15" s="4"/>
      <x:c r="M15" s="9" t="str">
        <x:f t="shared" si="3"/>
        <x:v>https://www.alinmapay.com.sa/Offers/OIF-JUN2026</x:v>
      </x:c>
      <x:c r="N15" s="4" t="inlineStr">
        <x:is>
          <x:t xml:space="preserve">https://www.alinmapay.com.sa/Offers/OIF-JUN2026</x:t>
        </x:is>
      </x:c>
      <x:c r="O15" s="4"/>
      <x:c r="P15" s="4"/>
      <x:c r="Q15" s="4"/>
      <x:c r="R15" s="4"/>
      <x:c r="S15" s="4"/>
      <x:c r="T15" s="8" t="n">
        <x:v>1</x:v>
      </x:c>
      <x:c r="U15" s="35" t="inlineStr">
        <x:is>
          <x:t xml:space="preserve">X</x:t>
        </x:is>
      </x:c>
    </x:row>
    <x:row r="16" ht="46.650001525878906" customHeight="1">
      <x:c r="A16" s="8" t="n">
        <x:f t="shared" si="0"/>
        <x:v>8</x:v>
      </x:c>
      <x:c r="B16" s="4" t="inlineStr">
        <x:is>
          <x:t xml:space="preserve">Remittance</x:t>
        </x:is>
      </x:c>
      <x:c r="C16" s="4" t="inlineStr">
        <x:is>
          <x:t xml:space="preserve">Zero-Fee Transfers to India from SAR 700</x:t>
        </x:is>
      </x:c>
      <x:c r="D16" s="4" t="inlineStr">
        <x:is>
          <x:t xml:space="preserve">Transfers of SAR 700 or more to Indian bank accounts are promoted with zero transfer fees.</x:t>
        </x:is>
      </x:c>
      <x:c r="E16" s="5"/>
      <x:c r="F16" s="5" t="n">
        <x:v>46068.0</x:v>
      </x:c>
      <x:c r="G16" s="5"/>
      <x:c r="H16" s="7">
        <x:f t="shared" si="1"/>
      </x:c>
      <x:c r="I16" s="6" t="str">
        <x:f t="shared" si="2"/>
        <x:v>End Date Not Stated</x:v>
      </x:c>
      <x:c r="J16" s="4" t="inlineStr">
        <x:is>
          <x:t xml:space="preserve">International transfers to India</x:t>
        </x:is>
      </x:c>
      <x:c r="K16" s="4" t="inlineStr">
        <x:is>
          <x:t xml:space="preserve">Zero transfer fee for transfers of SAR 700 or more</x:t>
        </x:is>
      </x:c>
      <x:c r="L16" s="4" t="inlineStr">
        <x:is>
          <x:t xml:space="preserve">alinma pay Direct customers transferring to eligible Indian bank accounts</x:t>
        </x:is>
      </x:c>
      <x:c r="M16" s="9" t="str">
        <x:f t="shared" si="3"/>
        <x:v>https://www.facebook.com/AlinmaPaySA/videos/zero-fees-fast-transfers-to-india/873682655502395/</x:v>
      </x:c>
      <x:c r="N16" s="4" t="inlineStr">
        <x:is>
          <x:t xml:space="preserve">https://www.facebook.com/AlinmaPaySA/videos/zero-fees-fast-transfers-to-india/873682655502395/</x:t>
        </x:is>
      </x:c>
      <x:c r="O16" s="4"/>
      <x:c r="P16" s="4"/>
      <x:c r="Q16" s="4" t="inlineStr">
        <x:is>
          <x:t xml:space="preserve">https://www.facebook.com/AlinmaPaySA/videos/zero-fees-fast-transfers-to-india/873682655502395/</x:t>
        </x:is>
      </x:c>
      <x:c r="R16" s="4"/>
      <x:c r="S16" s="4" t="inlineStr">
        <x:is>
          <x:t xml:space="preserve">Campaign end date is not stated in the official video.</x:t>
        </x:is>
      </x:c>
      <x:c r="T16" s="8" t="n">
        <x:v>1</x:v>
      </x:c>
      <x:c r="U16" s="35" t="inlineStr">
        <x:is>
          <x:t xml:space="preserve">Facebook</x:t>
        </x:is>
      </x:c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