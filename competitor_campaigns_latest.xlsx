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<x:sst xmlns:x="http://schemas.openxmlformats.org/spreadsheetml/2006/main">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</x:sst>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1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36</c:v>
                </c:pt>
                <c:pt idx="1">
                  <c:v>14</c:v>
                </c:pt>
                <c:pt idx="2">
                  <c:v>17</c:v>
                </c:pt>
                <c:pt idx="3">
                  <c:v>14</c:v>
                </c:pt>
                <c:pt idx="4">
                  <c:v>4</c:v>
                </c:pt>
                <c:pt idx="5">
                  <c:v>15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70</c:v>
                </c:pt>
                <c:pt idx="1">
                  <c:v>58</c:v>
                </c:pt>
                <c:pt idx="2">
                  <c:v>0</c:v>
                </c:pt>
                <c:pt idx="3">
                  <c:v>14</c:v>
                </c:pt>
                <c:pt idx="4">
                  <c:v>25</c:v>
                </c:pt>
                <c:pt idx="5">
                  <c:v>26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85</c:v>
                </c:pt>
                <c:pt idx="1">
                  <c:v>9</c:v>
                </c:pt>
                <c:pt idx="2">
                  <c:v>22</c:v>
                </c:pt>
                <c:pt idx="3">
                  <c:v>14</c:v>
                </c:pt>
                <c:pt idx="4">
                  <c:v>1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11</c:v>
                </c:pt>
                <c:pt idx="1">
                  <c:v>14</c:v>
                </c:pt>
                <c:pt idx="2">
                  <c:v>4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1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46300.06401575488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46300.0648068213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4</x:v>
      </x:c>
    </x:row>
    <x:row r="6" ht="19" customHeight="1">
      <x:c r="A6" s="251" t="n">
        <x:f>SUM($Y$2:$Y$7)</x:f>
        <x:v>22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466</x:v>
      </x:c>
      <x:c r="H6" s="286"/>
      <x:c r="I6" s="211"/>
      <x:c r="J6" s="251" t="n">
        <x:f>$AE$12</x:f>
        <x:v>2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36</x:v>
      </x:c>
      <x:c r="Z12" s="289" t="n">
        <x:v>70</x:v>
      </x:c>
      <x:c r="AA12" s="289" t="n">
        <x:v>85</x:v>
      </x:c>
      <x:c r="AB12" s="289" t="n">
        <x:v>11</x:v>
      </x:c>
      <x:c r="AD12" s="289" t="inlineStr">
        <x:is>
          <x:t xml:space="preserve">Expiring ≤30 Days</x:t>
        </x:is>
      </x:c>
      <x:c r="AE12" s="289" t="n">
        <x:v>2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58</x:v>
      </x:c>
      <x:c r="AA13" s="289" t="n">
        <x:v>9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22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14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25</x:v>
      </x:c>
      <x:c r="AA16" s="289" t="n">
        <x:v>1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15</x:v>
      </x:c>
      <x:c r="Z17" s="289" t="n">
        <x:v>26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47</x:v>
      </x:c>
      <x:c r="U9" s="35" t="inlineStr">
        <x:is>
          <x:t xml:space="preserve">Instagram, X, Facebook</x:t>
        </x:is>
      </x:c>
    </x:row>
    <x:row r="10" ht="46.650001525878906" customHeight="1">
      <x:c r="A10" s="8">
        <x:f t="shared" si="0">IF(C10="","",ROW()-8)</x:f>
      </x:c>
      <x:c r="B10" s="4"/>
      <x:c r="C10" s="4"/>
      <x:c r="D10" s="4"/>
      <x:c r="E10" s="5"/>
      <x:c r="F10" s="5"/>
      <x:c r="G10" s="5"/>
      <x:c r="H10" s="7">
        <x:f t="shared" si="1">IF(OR(C10="",G10=""),"",G10-TODAY())</x:f>
      </x:c>
      <x:c r="I10" s="6">
        <x:f t="shared" si="2">IF(C10="","",IF(G10="","End Date Not Stated",IF(G10&lt;TODAY(),"Expired",IF(G10&lt;=TODAY()+7,"Expiring ≤7 Days",IF(G10&lt;=TODAY()+30,"Expiring 8–30 Days","Active")))))</x:f>
      </x:c>
      <x:c r="J10" s="4"/>
      <x:c r="K10" s="4"/>
      <x:c r="L10" s="4"/>
      <x:c r="M10" s="9">
        <x:f>IF(C10="","",IF(N10&lt;&gt;"",N10,IF(O10&lt;&gt;"",O10,IF(P10&lt;&gt;"",P10,IF(Q10&lt;&gt;"",Q10,IF(R10&lt;&gt;"",R10,""))))))</x:f>
      </x:c>
      <x:c r="N10" s="63"/>
      <x:c r="O10" s="4"/>
      <x:c r="P10" s="4"/>
      <x:c r="Q10" s="63"/>
      <x:c r="R10" s="4"/>
      <x:c r="S10" s="4"/>
      <x:c r="T10" s="5"/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26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