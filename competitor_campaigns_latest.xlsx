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<x:sst xmlns:x="http://schemas.openxmlformats.org/spreadsheetml/2006/main">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</x:sst>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4</c:v>
                </c:pt>
                <c:pt idx="1">
                  <c:v>5</c:v>
                </c:pt>
                <c:pt idx="2">
                  <c:v>6</c:v>
                </c:pt>
                <c:pt idx="3">
                  <c:v>6</c:v>
                </c:pt>
                <c:pt idx="4">
                  <c:v>3</c:v>
                </c:pt>
                <c:pt idx="5">
                  <c:v>6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11</c:v>
                </c:pt>
                <c:pt idx="1">
                  <c:v>3</c:v>
                </c:pt>
                <c:pt idx="2">
                  <c:v>1</c:v>
                </c:pt>
                <c:pt idx="3">
                  <c:v>8</c:v>
                </c:pt>
                <c:pt idx="4">
                  <c:v>3</c:v>
                </c:pt>
                <c:pt idx="5">
                  <c:v>4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28</c:v>
                </c:pt>
                <c:pt idx="1">
                  <c:v>9</c:v>
                </c:pt>
                <c:pt idx="2">
                  <c:v>22</c:v>
                </c:pt>
                <c:pt idx="3">
                  <c:v>16</c:v>
                </c:pt>
                <c:pt idx="4">
                  <c:v>9</c:v>
                </c:pt>
                <c:pt idx="5">
                  <c:v>11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52</c:v>
                </c:pt>
                <c:pt idx="1">
                  <c:v>37</c:v>
                </c:pt>
                <c:pt idx="2">
                  <c:v>30</c:v>
                </c:pt>
                <c:pt idx="3">
                  <c:v>12</c:v>
                </c:pt>
                <c:pt idx="4">
                  <c:v>35</c:v>
                </c:pt>
                <c:pt idx="5">
                  <c:v>17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59</c:v>
                </c:pt>
                <c:pt idx="1">
                  <c:v>15</c:v>
                </c:pt>
                <c:pt idx="2">
                  <c:v>24</c:v>
                </c:pt>
                <c:pt idx="3">
                  <c:v>16</c:v>
                </c:pt>
                <c:pt idx="4">
                  <c:v>11</c:v>
                </c:pt>
                <c:pt idx="5">
                  <c:v>10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2</c:v>
                </c:pt>
                <c:pt idx="1">
                  <c:v>2</c:v>
                </c:pt>
                <c:pt idx="2">
                  <c:v>3</c:v>
                </c:pt>
                <c:pt idx="3">
                  <c:v>0</c:v>
                </c:pt>
                <c:pt idx="4">
                  <c:v>5</c:v>
                </c:pt>
                <c:pt idx="5">
                  <c:v>0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4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11</x:v>
      </x:c>
    </x:row>
    <x:row r="3" ht="22" customHeight="1">
      <x:c r="A3" s="226" t="str">
        <x:v>Research Cut-off</x:v>
      </x:c>
      <x:c r="B3" s="227" t="n">
        <x:v>46263.253435914536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46263.25436520663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5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3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6</x:v>
      </x:c>
      <x:c r="AA4" s="289" t="inlineStr">
        <x:is>
          <x:t xml:space="preserve">Mobily Pay</x:t>
        </x:is>
      </x:c>
      <x:c r="AB4" s="289" t="n">
        <x:v>3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6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8</x:v>
      </x:c>
    </x:row>
    <x:row r="6" ht="19" customHeight="1">
      <x:c r="A6" s="251" t="n">
        <x:f>SUM($Y$2:$Y$7)</x:f>
        <x:v>30</x:v>
      </x:c>
      <x:c r="B6" s="252"/>
      <x:c r="C6" s="211"/>
      <x:c r="D6" s="251" t="n">
        <x:f>SUM($AB$2:$AB$7)</x:f>
        <x:v>11</x:v>
      </x:c>
      <x:c r="E6" s="252"/>
      <x:c r="F6" s="211"/>
      <x:c r="G6" s="285" t="n">
        <x:f>SUM($Y$12:$AB$17)</x:f>
        <x:v>425</x:v>
      </x:c>
      <x:c r="H6" s="286"/>
      <x:c r="I6" s="211"/>
      <x:c r="J6" s="251" t="n">
        <x:f>$AE$12</x:f>
        <x:v>4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6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4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28</x:v>
      </x:c>
      <x:c r="Z12" s="289" t="n">
        <x:v>52</x:v>
      </x:c>
      <x:c r="AA12" s="289" t="n">
        <x:v>59</x:v>
      </x:c>
      <x:c r="AB12" s="289" t="n">
        <x:v>2</x:v>
      </x:c>
      <x:c r="AD12" s="289" t="inlineStr">
        <x:is>
          <x:t xml:space="preserve">Expiring ≤30 Days</x:t>
        </x:is>
      </x:c>
      <x:c r="AE12" s="289" t="n">
        <x:v>4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9</x:v>
      </x:c>
      <x:c r="Z13" s="289" t="n">
        <x:v>37</x:v>
      </x:c>
      <x:c r="AA13" s="289" t="n">
        <x:v>15</x:v>
      </x:c>
      <x:c r="AB13" s="289" t="n">
        <x:v>2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22</x:v>
      </x:c>
      <x:c r="Z14" s="289" t="n">
        <x:v>30</x:v>
      </x:c>
      <x:c r="AA14" s="289" t="n">
        <x:v>24</x:v>
      </x:c>
      <x:c r="AB14" s="289" t="n">
        <x:v>3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16</x:v>
      </x:c>
      <x:c r="Z15" s="289" t="n">
        <x:v>12</x:v>
      </x:c>
      <x:c r="AA15" s="289" t="n">
        <x:v>16</x:v>
      </x:c>
      <x:c r="AB15" s="289" t="n">
        <x:v>0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9</x:v>
      </x:c>
      <x:c r="Z16" s="289" t="n">
        <x:v>35</x:v>
      </x:c>
      <x:c r="AA16" s="289" t="n">
        <x:v>11</x:v>
      </x:c>
      <x:c r="AB16" s="289" t="n">
        <x:v>5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11</x:v>
      </x:c>
      <x:c r="Z17" s="289" t="n">
        <x:v>17</x:v>
      </x:c>
      <x:c r="AA17" s="289" t="n">
        <x:v>10</x:v>
      </x:c>
      <x:c r="AB17" s="289" t="n">
        <x:v>0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27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4</x:v>
      </x:c>
      <x:c r="B5" s="53"/>
      <x:c r="C5" s="53"/>
      <x:c r="D5" s="53" t="n">
        <x:f>COUNTIFS('STC Bank'!$C$9:$C$500,"&lt;&gt;",'STC Bank'!$I$9:$I$500,"End Date Not Stated")</x:f>
        <x:v>1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1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46314.0</x:v>
      </x:c>
      <x:c r="H9" s="7" t="n">
        <x:f t="shared" ref="H9:H53" si="1">IF(OR(C9="",G9=""),"",G9-TODAY())</x:f>
        <x:v>51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Active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10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Targeted Cash Reward on International Purchases</x:t>
        </x:is>
      </x:c>
      <x:c r="D10" s="4" t="inlineStr">
        <x:is>
          <x:t xml:space="preserve">Selected customers can earn a cash amount after meeting the international-spend requirement stated in an STC Bank SMS.</x:t>
        </x:is>
      </x:c>
      <x:c r="E10" s="5"/>
      <x:c r="F10" s="5" t="n">
        <x:v>46240.0</x:v>
      </x:c>
      <x:c r="G10" s="5" t="n">
        <x:v>46297.0</x:v>
      </x:c>
      <x:c r="H10" s="7" t="n">
        <x:f t="shared" si="1">IF(OR(C10="",G10=""),"",G10-TODAY())</x:f>
        <x:v>34</x:v>
      </x:c>
      <x:c r="I10" s="6" t="str">
        <x:f t="shared" si="2">IF(C10="","",IF(G10="","End Date Not Stated",IF(G10&lt;TODAY(),"Expired",IF(G10&lt;=TODAY()+7,"Expiring ≤7 Days",IF(G10&lt;=TODAY()+30,"Expiring 8–30 Days","Active")))))</x:f>
        <x:v>Active</x:v>
      </x:c>
      <x:c r="J10" s="4" t="inlineStr">
        <x:is>
          <x:t xml:space="preserve">International POS and e-commerce purchases</x:t>
        </x:is>
      </x:c>
      <x:c r="K10" s="4" t="inlineStr">
        <x:is>
          <x:t xml:space="preserve">Cash amount specified in the customer SMS after meeting the stated minimum spend</x:t>
        </x:is>
      </x:c>
      <x:c r="L10" s="4" t="inlineStr">
        <x:is>
          <x:t xml:space="preserve">Selected customers who received the offer SMS; STC Bank Visa payment cards (Classic, Platinum, Signature), digital or physical</x:t>
        </x:is>
      </x:c>
      <x:c r="M10" s="9" t="str">
        <x:f>IF(C10="","",IF(N10&lt;&gt;"",N10,IF(O10&lt;&gt;"",O10,IF(P10&lt;&gt;"",P10,IF(Q10&lt;&gt;"",Q10,IF(R10&lt;&gt;"",R10,""))))))</x:f>
        <x:v>https://stcbank.com.sa/en/web/guest/w/blt-cash</x:v>
      </x:c>
      <x:c r="N10" s="63" t="inlineStr">
        <x:is>
          <x:t xml:space="preserve">https://stcbank.com.sa/en/web/guest/w/blt-cash</x:t>
        </x:is>
      </x:c>
      <x:c r="O10" s="4"/>
      <x:c r="P10" s="4"/>
      <x:c r="Q10" s="63"/>
      <x:c r="R10" s="4"/>
      <x:c r="S10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0% International Transaction Fees and Free Cash Withdrawals</x:t>
        </x:is>
      </x:c>
      <x:c r="D11" s="4" t="inlineStr">
        <x:is>
          <x:t xml:space="preserve">0% fees on eligible international POS transactions and free withdrawals from international ATMs.</x:t>
        </x:is>
      </x:c>
      <x:c r="E11" s="5"/>
      <x:c r="F11" s="5" t="n">
        <x:v>46159.0</x:v>
      </x:c>
      <x:c r="G11" s="5" t="n">
        <x:v>46265.0</x:v>
      </x:c>
      <x:c r="H11" s="7" t="n">
        <x:f t="shared" si="1">IF(OR(C11="",G11=""),"",G11-TODAY())</x:f>
        <x:v>2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≤7 Days</x:v>
      </x:c>
      <x:c r="J11" s="4" t="inlineStr">
        <x:is>
          <x:t xml:space="preserve">International POS purchases and international ATM withdrawals</x:t>
        </x:is>
      </x:c>
      <x:c r="K11" s="4" t="inlineStr">
        <x:is>
          <x:t xml:space="preserve">0% international transaction fees and free international ATM withdrawals</x:t>
        </x:is>
      </x:c>
      <x:c r="L11" s="4" t="inlineStr">
        <x:is>
          <x:t xml:space="preserve">STC Bank Visa Classic, Platinum, and Signature debit cards; credit cards excluded</x:t>
        </x:is>
      </x:c>
      <x:c r="M11" s="9" t="str">
        <x:f t="shared" ref="M11:M53" si="4">IF(C11="","",IF(N11&lt;&gt;"",N11,IF(O11&lt;&gt;"",O11,IF(P11&lt;&gt;"",P11,IF(Q11&lt;&gt;"",Q11,IF(R11&lt;&gt;"",R11,""))))))</x:f>
        <x:v>https://stcbank.com.sa/en/web/guest/w/international-purchases-with-0-fees</x:v>
      </x:c>
      <x:c r="N11" s="63" t="inlineStr">
        <x:is>
          <x:t xml:space="preserve">https://stcbank.com.sa/en/web/guest/w/international-purchases-with-0-fees</x:t>
        </x:is>
      </x:c>
      <x:c r="O11" s="4" t="inlineStr">
        <x:is>
          <x:t xml:space="preserve">https://www.instagram.com/reel/DbJTohBs04q/</x:t>
        </x:is>
      </x:c>
      <x:c r="P11" s="4" t="inlineStr">
        <x:is>
          <x:t xml:space="preserve">https://x.com/stcbank_ksa/status/2071588243682832478</x:t>
        </x:is>
      </x:c>
      <x:c r="Q11" s="4" t="inlineStr">
        <x:is>
          <x:t xml:space="preserve">https://www.facebook.com/share/v/1BoJpH5Xnd/</x:t>
        </x:is>
      </x:c>
      <x:c r="R11" s="4" t="inlineStr">
        <x:is>
          <x:t xml:space="preserve">https://www.tiktok.com/@stcbank_ksa/video/7657549142540979477?is_from_webapp=1&amp;sender_device=pc&amp;web_id=7646835061455799828</x:t>
        </x:is>
      </x:c>
      <x:c r="S11" s="4" t="inlineStr">
        <x:is>
          <x:t xml:space="preserve">0% international POS fee campaign is valid from 17 May to 31 August 2026. International e-commerce purchases are excluded; free withdrawals apply to international ATMs. Digital-wallet purchases are eligible under the official terms.</x:t>
        </x:is>
      </x:c>
      <x:c r="T11" s="8" t="n">
        <x:v>9</x:v>
      </x:c>
      <x:c r="U11" s="35" t="inlineStr">
        <x:is>
          <x:t xml:space="preserve">Instagram, X, Facebook, TikTok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Card</x:t>
        </x:is>
      </x:c>
      <x:c r="C12" s="4" t="inlineStr">
        <x:is>
          <x:t xml:space="preserve">STC Bank Credit Card Launch</x:t>
        </x:is>
      </x:c>
      <x:c r="D12" s="4" t="inlineStr">
        <x:is>
          <x:t xml:space="preserve">Credit cards promoted with flexible cashback of up to 10% on selected categories and 1% on other purchases.</x:t>
        </x:is>
      </x:c>
      <x:c r="E12" s="5"/>
      <x:c r="F12" s="5" t="n">
        <x:v>46132.45142361111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Credit-card purchases</x:t>
        </x:is>
      </x:c>
      <x:c r="K12" s="4" t="inlineStr">
        <x:is>
          <x:t xml:space="preserve">Flexible category cashback of up to 10%</x:t>
        </x:is>
      </x:c>
      <x:c r="L12" s="4" t="inlineStr">
        <x:is>
          <x:t xml:space="preserve">STC Bank credit-card customers</x:t>
        </x:is>
      </x:c>
      <x:c r="M12" s="9" t="str">
        <x:f t="shared" si="4">IF(C12="","",IF(N12&lt;&gt;"",N12,IF(O12&lt;&gt;"",O12,IF(P12&lt;&gt;"",P12,IF(Q12&lt;&gt;"",Q12,IF(R12&lt;&gt;"",R12,""))))))</x:f>
        <x:v>https://www.instagram.com/reel/DWots29j8fx/?hl=en</x:v>
      </x:c>
      <x:c r="N12" s="4" t="inlineStr">
        <x:is>
          <x:t xml:space="preserve">https://www.instagram.com/reel/DWots29j8fx/?hl=en</x:t>
        </x:is>
      </x:c>
      <x:c r="O12" s="63" t="inlineStr">
        <x:is>
          <x:t xml:space="preserve">https://www.instagram.com/reel/DWots29j8fx/?hl=en</x:t>
        </x:is>
      </x:c>
      <x:c r="P12" s="63" t="inlineStr">
        <x:is>
          <x:t xml:space="preserve">https://x.com/stcbank_ksa/status/2071639841348124772</x:t>
        </x:is>
      </x:c>
      <x:c r="Q12" s="63" t="inlineStr">
        <x:is>
          <x:t xml:space="preserve">https://www.facebook.com/share/v/1CqU3VtD85/</x:t>
        </x:is>
      </x:c>
      <x:c r="R12" s="4"/>
      <x:c r="S12" s="4" t="inlineStr">
        <x:is>
      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      </x:is>
      </x:c>
      <x:c r="T12" s="8" t="n">
        <x:v>6</x:v>
      </x:c>
      <x:c r="U12" s="35" t="inlineStr">
        <x:is>
          <x:t xml:space="preserve">Instagram, X, 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52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5</x:v>
      </x:c>
      <x:c r="B5" s="53"/>
      <x:c r="C5" s="53"/>
      <x:c r="D5" s="53" t="n">
        <x:f>COUNTIFS('barq'!$C$9:$C$500,"&lt;&gt;",'barq'!$I$9:$I$500,"End Date Not Stated")</x:f>
        <x:v>5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 t="inlineStr">
        <x:is>
          <x:t xml:space="preserve">https://www.instagram.com/reel/DYxvJOWiZY5/</x:t>
        </x:is>
      </x:c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8" t="n">
        <x:v>2</x:v>
      </x:c>
      <x:c r="U9" s="35" t="inlineStr">
        <x:is>
          <x:t xml:space="preserve">Instagram,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FX Rate Awareness Campaign</x:t>
        </x:is>
      </x:c>
      <x:c r="D10" s="4"/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/ FX rate awareness</x:t>
        </x:is>
      </x:c>
      <x:c r="K10" s="4" t="inlineStr">
        <x:is>
          <x:t xml:space="preserve">All barq customers using international transfers</x:t>
        </x:is>
      </x:c>
      <x:c r="L10" s="4" t="inlineStr">
        <x:is>
          <x:t xml:space="preserve">Educational campaign explaining exchange rates and how they affect the received amount in international transfers.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https://www.instagram.com/reel/DaaydiADUvg/?utm_source=ig_web_button_share_sheet&amp;igsh=MzRlODBiNWFlZA==</x:v>
      </x:c>
      <x:c r="N10" s="4" t="inlineStr">
        <x:is>
          <x:t xml:space="preserve">https://www.instagram.com/reel/DaaydiADUvg/?utm_source=ig_web_button_share_sheet&amp;igsh=MzRlODBiNWFlZA==</x:t>
        </x:is>
      </x:c>
      <x:c r="O10" s="4" t="inlineStr">
        <x:is>
          <x:t xml:space="preserve">https://www.instagram.com/reel/DaaydiADUvg/?utm_source=ig_web_button_share_sheet&amp;igsh=MzRlODBiNWFlZA==</x:t>
        </x:is>
      </x:c>
      <x:c r="P10" s="4"/>
      <x:c r="Q10" s="63"/>
      <x:c r="R10" s="4"/>
      <x:c r="S10" s="4"/>
      <x:c r="T10" s="8" t="n">
        <x:v>1</x:v>
      </x:c>
      <x:c r="U10" s="35" t="inlineStr">
        <x:is>
          <x:t xml:space="preserve">Instagram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Engagement</x:t>
        </x:is>
      </x:c>
      <x:c r="C11" s="4" t="inlineStr">
        <x:is>
          <x:t xml:space="preserve">Prediction Game</x:t>
        </x:is>
      </x:c>
      <x:c r="D11" s="4" t="inlineStr">
        <x:is>
          <x:t xml:space="preserve">In-app match prediction game with a prize pool of up to SAR 500,000.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In-app sports engagement</x:t>
        </x:is>
      </x:c>
      <x:c r="K11" s="4" t="inlineStr">
        <x:is>
          <x:t xml:space="preserve">Prediction game with prizes worth up to SAR 500,000</x:t>
        </x:is>
      </x:c>
      <x:c r="L11" s="4" t="inlineStr">
        <x:is>
          <x:t xml:space="preserve">barq app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https://www.facebook.com/usebarq/posts/update-your-barq-app-and-join-the-prediction-game-win-your-share-of-prizes-worth/122197690844385166/</x:v>
      </x:c>
      <x:c r="N11" s="4" t="inlineStr">
        <x:is>
          <x:t xml:space="preserve">https://www.facebook.com/usebarq/posts/update-your-barq-app-and-join-the-prediction-game-win-your-share-of-prizes-worth/122197690844385166/</x:t>
        </x:is>
      </x:c>
      <x:c r="O11" s="4"/>
      <x:c r="P11" s="4"/>
      <x:c r="Q11" s="63" t="inlineStr">
        <x:is>
          <x:t xml:space="preserve">https://www.facebook.com/usebarq/posts/update-your-barq-app-and-join-the-prediction-game-win-your-share-of-prizes-worth/122197690844385166/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 t="inlineStr">
        <x:is>
          <x:t xml:space="preserve">https://www.instagram.com/p/Dazzjtdt1Jt/?utm_source=ig_web_button_share_sheet&amp;igsh=MzRlODBiNWFlZA==</x:t>
        </x:is>
      </x:c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 t="n">
        <x:v>46229.53383101852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63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6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Trips For hotel and flight reservations</x:t>
        </x:is>
      </x:c>
      <x:c r="D9" s="4" t="inlineStr">
        <x:is>
          <x:t xml:space="preserve">Offer is valid from 16 Aug until 31 Aug 2026. 5% discount on hotels and 5% cashback on domestic and international airlines with no maximum discount or cashback.</x:t>
        </x:is>
      </x:c>
      <x:c r="E9" s="5"/>
      <x:c r="F9" s="5" t="n">
        <x:v>46250.0</x:v>
      </x:c>
      <x:c r="G9" s="5" t="n">
        <x:v>46265.0</x:v>
      </x:c>
      <x:c r="H9" s="7" t="n">
        <x:f t="shared" ref="H9:H42" si="1">IF(OR(C9="",G9=""),"",G9-TODAY())</x:f>
        <x:v>2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≤7 Days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https://mobilypay.sa/en/offers/offer-57.html</x:v>
      </x:c>
      <x:c r="N9" s="63" t="inlineStr">
        <x:is>
          <x:t xml:space="preserve">https://mobilypay.sa/en/offers/offer-57.html</x:t>
        </x:is>
      </x:c>
      <x:c r="O9" s="63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Weekly International Transfer Prizes – Up to SAR 20,000</x:t>
        </x:is>
      </x:c>
      <x:c r="D10" s="4" t="inlineStr">
        <x:is>
          <x:t xml:space="preserve">International transfers generate entries for weekly prizes of up to SAR 20,000.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</x:t>
        </x:is>
      </x:c>
      <x:c r="K10" s="4" t="inlineStr">
        <x:is>
          <x:t xml:space="preserve">Weekly prizes up to SAR 20,000; no minimum transfer stated in the post</x:t>
        </x:is>
      </x:c>
      <x:c r="L10" s="4" t="inlineStr">
        <x:is>
          <x:t xml:space="preserve">Mobily Pay international-transfer customers</x:t>
        </x:is>
      </x:c>
      <x:c r="M10" s="9" t="str">
        <x:f t="shared" si="3">IF(C10="","",IF(N10&lt;&gt;"",N10,IF(O10&lt;&gt;"",O10,IF(P10&lt;&gt;"",P10,IF(Q10&lt;&gt;"",Q10,IF(R10&lt;&gt;"",R10,""))))))</x:f>
        <x:v>https://www.facebook.com/mobilypay/videos/sar-20000-is-waiting-for-you-make-an-international-transfer-with-mobilypay-and-i/4300117560266135/</x:v>
      </x:c>
      <x:c r="N10" s="4" t="inlineStr">
        <x:is>
          <x:t xml:space="preserve">https://www.facebook.com/mobilypay/videos/sar-20000-is-waiting-for-you-make-an-international-transfer-with-mobilypay-and-i/4300117560266135/</x:t>
        </x:is>
      </x:c>
      <x:c r="O10" s="63"/>
      <x:c r="P10" s="4"/>
      <x:c r="Q10" s="63" t="inlineStr">
        <x:is>
          <x:t xml:space="preserve">https://www.facebook.com/mobilypay/videos/sar-20000-is-waiting-for-you-make-an-international-transfer-with-mobilypay-and-i/4300117560266135/</x:t>
        </x:is>
      </x:c>
      <x:c r="R10" s="4"/>
      <x:c r="S10" s="4" t="inlineStr">
        <x:is>
          <x:t xml:space="preserve">Campaign end date is not stated in the official video.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Zero-Fee International Transfers – Aug–Oct 2026</x:t>
        </x:is>
      </x:c>
      <x:c r="D11" s="4" t="inlineStr">
        <x:is>
          <x:t xml:space="preserve">Qualifying international transfers are offered with zero transfer fees under corridor and amount thresholds stated on the official campaign page.</x:t>
        </x:is>
      </x:c>
      <x:c r="E11" s="5"/>
      <x:c r="F11" s="5" t="n">
        <x:v>46235.0</x:v>
      </x:c>
      <x:c r="G11" s="5" t="n">
        <x:v>46326.0</x:v>
      </x:c>
      <x:c r="H11" s="7" t="n">
        <x:f t="shared" si="1">IF(OR(C11="",G11=""),"",G11-TODAY())</x:f>
        <x:v>63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International transfers through MoneyGram</x:t>
        </x:is>
      </x:c>
      <x:c r="K11" s="4" t="inlineStr">
        <x:is>
          <x:t xml:space="preserve">Zero transfer fees on qualifying transfers; standard SAR 9 fees apply below certain corridor/amount thresholds</x:t>
        </x:is>
      </x:c>
      <x:c r="L11" s="4" t="inlineStr">
        <x:is>
          <x:t xml:space="preserve">Mobily Pay customers; corridor, currency, amount threshold, VAT and MoneyGram terms apply</x:t>
        </x:is>
      </x:c>
      <x:c r="M11" s="9" t="str">
        <x:f t="shared" si="3">IF(C11="","",IF(N11&lt;&gt;"",N11,IF(O11&lt;&gt;"",O11,IF(P11&lt;&gt;"",P11,IF(Q11&lt;&gt;"",Q11,IF(R11&lt;&gt;"",R11,""))))))</x:f>
        <x:v>https://mobilypay.sa/en/offers/offer-56.html</x:v>
      </x:c>
      <x:c r="N11" s="4" t="inlineStr">
        <x:is>
          <x:t xml:space="preserve">https://mobilypay.sa/en/offers/offer-56.html</x:t>
        </x:is>
      </x:c>
      <x:c r="O11" s="4" t="inlineStr">
        <x:is>
          <x:t xml:space="preserve">https://www.instagram.com/reel/DZuhOEDFRNn/</x:t>
        </x:is>
      </x:c>
      <x:c r="P11" s="4"/>
      <x:c r="Q11" s="63" t="inlineStr">
        <x:is>
          <x:t xml:space="preserve">https://www.facebook.com/mobilypay/videos/transfer-now/829680072943900/</x:t>
        </x:is>
      </x:c>
      <x:c r="R11" s="4"/>
      <x:c r="S11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1" s="8" t="n">
        <x:v>2</x:v>
      </x:c>
      <x:c r="U11" s="35" t="inlineStr">
        <x:is>
          <x:t xml:space="preserve">Instagram,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Other</x:t>
        </x:is>
      </x:c>
      <x:c r="C12" s="4" t="inlineStr">
        <x:is>
          <x:t xml:space="preserve">10 SAR CASHBACK</x:t>
        </x:is>
      </x:c>
      <x:c r="D12" s="4" t="inlineStr">
        <x:is>
          <x:t xml:space="preserve">The offer is valid from 5 Jan until 30 Aug 2026. Share your promo code with your friends to get SAR 5 Cashback, and them get SAR 5 Cashback.</x:t>
        </x:is>
      </x:c>
      <x:c r="E12" s="5"/>
      <x:c r="F12" s="5" t="n">
        <x:v>46027.0</x:v>
      </x:c>
      <x:c r="G12" s="5" t="n">
        <x:v>46264.0</x:v>
      </x:c>
      <x:c r="H12" s="7" t="n">
        <x:f t="shared" si="1">IF(OR(C12="",G12=""),"",G12-TODAY())</x:f>
        <x:v>1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≤7 Days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https://mobilypay.sa/en/offers/offer-26.html</x:v>
      </x:c>
      <x:c r="N12" s="4" t="inlineStr">
        <x:is>
          <x:t xml:space="preserve">https://mobilypay.sa/en/offers/offer-26.html</x:t>
        </x:is>
      </x:c>
      <x:c r="O12" s="4"/>
      <x:c r="P12" s="4"/>
      <x:c r="Q12" s="4"/>
      <x:c r="R12" s="4"/>
      <x:c r="S12" s="4"/>
      <x:c r="T12" s="8" t="n">
        <x:v>0</x:v>
      </x:c>
      <x:c r="U12" s="35"/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Other</x:t>
        </x:is>
      </x:c>
      <x:c r="C13" s="4" t="inlineStr">
        <x:is>
          <x:t xml:space="preserve">EARN MILES WITH ALL MOBILY PAY SERVICES</x:t>
        </x:is>
      </x:c>
      <x:c r="D13" s="4" t="inlineStr">
        <x:is>
          <x:t xml:space="preserve">Offer is valid from 1 Feb 2025 until 30 Sep 2026. Offer includes only the services specified in the Miles Earning Schedule when using Mobily Pay App</x:t>
        </x:is>
      </x:c>
      <x:c r="E13" s="5"/>
      <x:c r="F13" s="5" t="n">
        <x:v>45689.0</x:v>
      </x:c>
      <x:c r="G13" s="5" t="n">
        <x:v>46295.0</x:v>
      </x:c>
      <x:c r="H13" s="7" t="n">
        <x:f t="shared" si="1">IF(OR(C13="",G13=""),"",G13-TODAY())</x:f>
        <x:v>32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/>
      <x:c r="K13" s="1"/>
      <x:c r="L13" s="4"/>
      <x:c r="M13" s="9" t="str">
        <x:f>IF(C13="","",IF(N13&lt;&gt;"",N13,IF(O13&lt;&gt;"",O13,IF(P13&lt;&gt;"",P13,IF(Q13&lt;&gt;"",Q13,IF(R13&lt;&gt;"",R13,""))))))</x:f>
        <x:v>https://mobilypay.sa/en/offers/offer-7.html</x:v>
      </x:c>
      <x:c r="N13" s="63" t="inlineStr">
        <x:is>
          <x:t xml:space="preserve">https://mobilypay.sa/en/offers/offer-7.html</x:t>
        </x:is>
      </x:c>
      <x:c r="O13" s="4"/>
      <x:c r="P13" s="63"/>
      <x:c r="Q13" s="63"/>
      <x:c r="R13" s="63"/>
      <x:c r="S13" s="4"/>
      <x:c r="T13" s="8" t="n">
        <x:v>0</x:v>
      </x:c>
      <x:c r="U13" s="35"/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Remittance</x:t>
        </x:is>
      </x:c>
      <x:c r="C14" s="4" t="inlineStr">
        <x:is>
          <x:t xml:space="preserve">INTERNATIONAL TRANSFER TO PAKISTAN IS FREE</x:t>
        </x:is>
      </x:c>
      <x:c r="D14" s="4" t="inlineStr">
        <x:is>
          <x:t xml:space="preserve">Offer is valid from 8 Nov 2023 No fees are applied to international transfers to bank accounts or digital wallets in Pakistan.</x:t>
        </x:is>
      </x:c>
      <x:c r="E14" s="5"/>
      <x:c r="F14" s="5" t="n">
        <x:v>45238.0</x:v>
      </x:c>
      <x:c r="G14" s="5"/>
      <x:c r="H14" s="7">
        <x:f t="shared" si="1">IF(OR(C14="",G14=""),"",G14-TODAY())</x:f>
      </x:c>
      <x:c r="I14" s="6" t="str">
        <x:f t="shared" si="2">IF(C14="","",IF(G14="","End Date Not Stated",IF(G14&lt;TODAY(),"Expired",IF(G14&lt;=TODAY()+7,"Expiring ≤7 Days",IF(G14&lt;=TODAY()+30,"Expiring 8–30 Days","Active")))))</x:f>
        <x:v>End Date Not Stated</x:v>
      </x:c>
      <x:c r="J14" s="4"/>
      <x:c r="K14" s="4"/>
      <x:c r="L14" s="4"/>
      <x:c r="M14" s="9" t="str">
        <x:f t="shared" si="3">IF(C14="","",IF(N14&lt;&gt;"",N14,IF(O14&lt;&gt;"",O14,IF(P14&lt;&gt;"",P14,IF(Q14&lt;&gt;"",Q14,IF(R14&lt;&gt;"",R14,""))))))</x:f>
        <x:v>https://mobilypay.sa/en/offers/offer-2.html</x:v>
      </x:c>
      <x:c r="N14" s="63" t="inlineStr">
        <x:is>
          <x:t xml:space="preserve">https://mobilypay.sa/en/offers/offer-2.html</x:t>
        </x:is>
      </x:c>
      <x:c r="O14" s="63"/>
      <x:c r="P14" s="63"/>
      <x:c r="Q14" s="63"/>
      <x:c r="R14" s="4"/>
      <x:c r="S14" s="4"/>
      <x:c r="T14" s="8" t="n">
        <x:v>0</x:v>
      </x:c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1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6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1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Spend More, Win More!</x:t>
        </x:is>
      </x:c>
      <x:c r="D11" s="4" t="inlineStr">
        <x:is>
          <x:t xml:space="preserve">Spend More, Win More! Every riyal spent with #tiqmo free Platinum card gets you closer to win SAR 100,000 and many more valuable prizes. Don't wait, shop today with your #tiqmo…</x:t>
        </x:is>
      </x:c>
      <x:c r="E11" s="5"/>
      <x:c r="F11" s="5" t="n">
        <x:v>46235.0</x:v>
      </x:c>
      <x:c r="G11" s="5" t="n">
        <x:v>46265.0</x:v>
      </x:c>
      <x:c r="H11" s="7" t="n">
        <x:f t="shared" si="1">IF(OR(C11="",G11=""),"",G11-TODAY())</x:f>
        <x:v>2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≤7 Days</x:v>
      </x:c>
      <x:c r="J11" s="4"/>
      <x:c r="K11" s="4"/>
      <x:c r="L11" s="4"/>
      <x:c r="M11" s="9" t="str">
        <x:f t="shared" si="3">IF(C11="","",IF(N11&lt;&gt;"",N11,IF(O11&lt;&gt;"",O11,IF(P11&lt;&gt;"",P11,IF(Q11&lt;&gt;"",Q11,IF(R11&lt;&gt;"",R11,""))))))</x:f>
        <x:v>https://m.facebook.com/Tiqmoksa/posts/pfbid02c7PJipWJA9SNNWsSqsG1H72VTzeqYR6PVsHx4Y3NagD5vLYJbDzgy7cc93XhXQT6l</x:v>
      </x:c>
      <x:c r="N11" s="4" t="inlineStr">
        <x:is>
          <x:t xml:space="preserve">https://m.facebook.com/Tiqmoksa/posts/pfbid02c7PJipWJA9SNNWsSqsG1H72VTzeqYR6PVsHx4Y3NagD5vLYJbDzgy7cc93XhXQT6l</x:t>
        </x:is>
      </x:c>
      <x:c r="O11" s="4" t="inlineStr">
        <x:is>
          <x:t xml:space="preserve">https://www.instagram.com/p/DaQZVwdljRw</x:t>
        </x:is>
      </x:c>
      <x:c r="P11" s="63" t="inlineStr">
        <x:is>
          <x:t xml:space="preserve">https://x.com/tiqmo/status/2088219298057892270</x:t>
        </x:is>
      </x:c>
      <x:c r="Q11" s="4" t="inlineStr">
        <x:is>
          <x:t xml:space="preserve">https://m.facebook.com/Tiqmoksa/posts/pfbid02c7PJipWJA9SNNWsSqsG1H72VTzeqYR6PVsHx4Y3NagD5vLYJbDzgy7cc93XhXQT6l</x:t>
        </x:is>
      </x:c>
      <x:c r="R11" s="4"/>
      <x:c r="S11" s="4"/>
      <x:c r="T11" s="8" t="n">
        <x:v>22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SADAD</x:t>
        </x:is>
      </x:c>
      <x:c r="C12" s="4" t="inlineStr">
        <x:is>
          <x:t xml:space="preserve">SADAD Daily Cashback</x:t>
        </x:is>
      </x:c>
      <x:c r="D12" s="4" t="inlineStr">
        <x:is>
          <x:t xml:space="preserve">Pay a SADAD bill for a daily chance to win SAR 1,000 cashback.</x:t>
        </x:is>
      </x:c>
      <x:c r="E12" s="5"/>
      <x:c r="F12" s="5" t="n">
        <x:v>46227.0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SADAD bill payments</x:t>
        </x:is>
      </x:c>
      <x:c r="K12" s="4" t="inlineStr">
        <x:is>
          <x:t xml:space="preserve">Daily draw for SAR 1,000 cashback</x:t>
        </x:is>
      </x:c>
      <x:c r="L12" s="4" t="inlineStr">
        <x:is>
          <x:t xml:space="preserve">tiqmo customers using SADAD</x:t>
        </x:is>
      </x:c>
      <x:c r="M12" s="9" t="str">
        <x:f t="shared" si="3">IF(C12="","",IF(N12&lt;&gt;"",N12,IF(O12&lt;&gt;"",O12,IF(P12&lt;&gt;"",P12,IF(Q12&lt;&gt;"",Q12,IF(R12&lt;&gt;"",R12,""))))))</x:f>
        <x:v>https://www.instagram.com/tiqmoksa/p/DbLZ9Yfj6dy/</x:v>
      </x:c>
      <x:c r="N12" s="4" t="inlineStr">
        <x:is>
          <x:t xml:space="preserve">https://www.instagram.com/tiqmoksa/p/DbLZ9Yfj6dy/</x:t>
        </x:is>
      </x:c>
      <x:c r="O12" s="4" t="inlineStr">
        <x:is>
          <x:t xml:space="preserve">https://www.instagram.com/tiqmoksa/p/DbLZ9Yfj6dy/</x:t>
        </x:is>
      </x:c>
      <x:c r="P12" s="63" t="inlineStr">
        <x:is>
          <x:t xml:space="preserve">https://x.com/tiqmo/status/2080654590756978954</x:t>
        </x:is>
      </x:c>
      <x:c r="Q12" s="63" t="inlineStr">
        <x:is>
          <x:t xml:space="preserve">https://www.facebook.com/Tiqmoksa/videos/sar-1000-cashback-every-daypay-your-bills-through-sadad-tiqmo-and-enter-the-dail/28285312344409396/</x:t>
        </x:is>
      </x:c>
      <x:c r="R12" s="4"/>
      <x:c r="S12" s="4" t="inlineStr">
        <x:is>
          <x:t xml:space="preserve">Campaign end date is not stated in the official post.</x:t>
        </x:is>
      </x:c>
      <x:c r="T12" s="8" t="n">
        <x:v>6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Monthly International Transfer Streak Cashback</x:t>
        </x:is>
      </x:c>
      <x:c r="D13" s="4" t="inlineStr">
        <x:is>
          <x:t xml:space="preserve">Transfer SAR 1,500 or more internationally each month to receive increasing monthly cashback while maintaining the monthly streak.</x:t>
        </x:is>
      </x:c>
      <x:c r="E13" s="5"/>
      <x:c r="F13" s="5" t="n">
        <x:v>46223.66736111111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transfers</x:t>
        </x:is>
      </x:c>
      <x:c r="K13" s="4" t="inlineStr">
        <x:is>
          <x:t xml:space="preserve">SAR 1,500+ monthly transfer threshold, increasing monthly cashback, and zero transfer fees</x:t>
        </x:is>
      </x:c>
      <x:c r="L13" s="4" t="inlineStr">
        <x:is>
          <x:t xml:space="preserve">tiqmo customers making qualifying monthly international transfers</x:t>
        </x:is>
      </x:c>
      <x:c r="M13" s="9" t="str">
        <x:f t="shared" si="3">IF(C13="","",IF(N13&lt;&gt;"",N13,IF(O13&lt;&gt;"",O13,IF(P13&lt;&gt;"",P13,IF(Q13&lt;&gt;"",Q13,IF(R13&lt;&gt;"",R13,""))))))</x:f>
        <x:v>https://www.instagram.com/p/DbBUcjiIHS1/</x:v>
      </x:c>
      <x:c r="N13" s="4" t="inlineStr">
        <x:is>
          <x:t xml:space="preserve">https://www.instagram.com/p/DbBUcjiIHS1/</x:t>
        </x:is>
      </x:c>
      <x:c r="O13" s="63" t="inlineStr">
        <x:is>
          <x:t xml:space="preserve">https://www.instagram.com/p/DbBUcjiIHS1/</x:t>
        </x:is>
      </x:c>
      <x:c r="P13" s="63" t="inlineStr">
        <x:is>
          <x:t xml:space="preserve">https://x.com/tiqmo/status/2079235327240368574</x:t>
        </x:is>
      </x:c>
      <x:c r="Q13" s="63" t="inlineStr">
        <x:is>
          <x:t xml:space="preserve">https://www.facebook.com/Tiqmoksa/posts/your-monthly-cashback-is-heretransfer-internationally-sar-1500-or-more-every-mon/1027166950077303/</x:t>
        </x:is>
      </x:c>
      <x:c r="R13" s="63"/>
      <x:c r="S13" s="4" t="inlineStr">
        <x:is>
          <x:t xml:space="preserve">Current official posts continue to promote Monthly Streak Rewards. The official post does not state a campaign end date.</x:t>
        </x:is>
      </x:c>
      <x:c r="T13" s="8" t="n">
        <x:v>5</x:v>
      </x:c>
      <x:c r="U13" s="35" t="inlineStr">
        <x:is>
          <x:t xml:space="preserve">Instagram, X, Facebook</x:t>
        </x:is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Card</x:t>
        </x:is>
      </x:c>
      <x:c r="C14" s="4" t="inlineStr">
        <x:is>
          <x:t xml:space="preserve">Zero International Card Transaction Fees</x:t>
        </x:is>
      </x:c>
      <x:c r="D14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4" s="5"/>
      <x:c r="F14" s="5" t="n">
        <x:v>46143.0</x:v>
      </x:c>
      <x:c r="G14" s="5" t="n">
        <x:v>46387.0</x:v>
      </x:c>
      <x:c r="H14" s="7" t="n">
        <x:f t="shared" si="1">IF(OR(C14="",G14=""),"",G14-TODAY())</x:f>
        <x:v>124</x:v>
      </x:c>
      <x:c r="I14" s="6" t="str">
        <x:f t="shared" si="2">IF(C14="","",IF(G14="","End Date Not Stated",IF(G14&lt;TODAY(),"Expired",IF(G14&lt;=TODAY()+7,"Expiring ≤7 Days",IF(G14&lt;=TODAY()+30,"Expiring 8–30 Days","Active")))))</x:f>
        <x:v>Active</x:v>
      </x:c>
      <x:c r="J14" s="4" t="inlineStr">
        <x:is>
          <x:t xml:space="preserve">International POS purchases and international ATM withdrawals</x:t>
        </x:is>
      </x:c>
      <x:c r="K14" s="4" t="inlineStr">
        <x:is>
          <x:t xml:space="preserve">0% international transaction fees and zero fees on overseas ATM withdrawals</x:t>
        </x:is>
      </x:c>
      <x:c r="L14" s="4" t="inlineStr">
        <x:is>
          <x:t xml:space="preserve">tiqmo customers using eligible cards while travelling outside Saudi Arabia</x:t>
        </x:is>
      </x:c>
      <x:c r="M14" s="9" t="str">
        <x:f t="shared" si="3">IF(C14="","",IF(N14&lt;&gt;"",N14,IF(O14&lt;&gt;"",O14,IF(P14&lt;&gt;"",P14,IF(Q14&lt;&gt;"",Q14,IF(R14&lt;&gt;"",R14,""))))))</x:f>
        <x:v>https://tiqmo.com/en/offers</x:v>
      </x:c>
      <x:c r="N14" s="4" t="inlineStr">
        <x:is>
          <x:t xml:space="preserve">https://tiqmo.com/en/offers</x:t>
        </x:is>
      </x:c>
      <x:c r="O14" s="4" t="inlineStr">
        <x:is>
          <x:t xml:space="preserve">https://www.instagram.com/p/DbQxYrrjfrH/</x:t>
        </x:is>
      </x:c>
      <x:c r="P14" s="4" t="inlineStr">
        <x:is>
          <x:t xml:space="preserve">https://x.com/tiqmo/status/2081409451844870239</x:t>
        </x:is>
      </x:c>
      <x:c r="Q14" s="4" t="inlineStr">
        <x:is>
          <x:t xml:space="preserve">https://www.facebook.com/Tiqmoksa/videos/1605667747644721/</x:t>
        </x:is>
      </x:c>
      <x:c r="R14" s="4" t="inlineStr">
        <x:is>
          <x:t xml:space="preserve">https://www.tiktok.com/@tiqmoksa/video/7666867037418867985</x:t>
        </x:is>
      </x:c>
      <x:c r="S14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4" s="8" t="n">
        <x:v>4</x:v>
      </x:c>
      <x:c r="U14" s="35" t="inlineStr">
        <x:is>
          <x:t xml:space="preserve">Instagram, X, Facebook, TikTok</x:t>
        </x:is>
      </x:c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6</x:v>
      </x:c>
      <x:c r="B5" s="53"/>
      <x:c r="C5" s="53"/>
      <x:c r="D5" s="53" t="n">
        <x:f>COUNTIFS('alinma pay'!$C$9:$C$500,"&lt;&gt;",'alinma pay'!$I$9:$I$500,"End Date Not Stated")</x:f>
        <x:v>4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عرض الهند على رسوم التحويلات الدولية</x:t>
        </x:is>
      </x:c>
      <x:c r="D9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9" s="5"/>
      <x:c r="F9" s="5" t="n">
        <x:v>46242.0</x:v>
      </x:c>
      <x:c r="G9" s="5" t="n">
        <x:v>46387.0</x:v>
      </x:c>
      <x:c r="H9" s="7" t="n">
        <x:f t="shared" ref="H9:H42" si="1">IF(OR(C9="",G9=""),"",G9-TODAY())</x:f>
        <x:v>124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Active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https://www.alinmapay.com.sa/Offers/India-Transfer-Fee-Offer-Aug26</x:v>
      </x:c>
      <x:c r="N9" s="4" t="inlineStr">
        <x:is>
          <x:t xml:space="preserve">https://www.alinmapay.com.sa/Offers/India-Transfer-Fee-Offer-Aug26</x:t>
        </x:is>
      </x:c>
      <x:c r="O9" s="63"/>
      <x:c r="P9" s="4"/>
      <x:c r="Q9" s="63"/>
      <x:c r="R9" s="4" t="inlineStr">
        <x:is>
          <x:t xml:space="preserve">https://www.tiktok.com/@alinmapay/video/7586667265882443024</x:t>
        </x:is>
      </x:c>
      <x:c r="S9" s="4"/>
      <x:c r="T9" s="8" t="n">
        <x:v>1</x:v>
      </x:c>
      <x:c r="U9" s="35" t="inlineStr">
        <x:is>
          <x:t xml:space="preserve">TikTok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International Transfers for SAR 5</x:t>
        </x:is>
      </x:c>
      <x:c r="D10" s="4" t="inlineStr">
        <x:is>
          <x:t xml:space="preserve">Flat SAR 5 transfer fee to multiple international corridors.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through alinma pay Direct</x:t>
        </x:is>
      </x:c>
      <x:c r="K10" s="4" t="inlineStr">
        <x:is>
          <x:t xml:space="preserve">Flat SAR 5 transfer fee</x:t>
        </x:is>
      </x:c>
      <x:c r="L10" s="4" t="inlineStr">
        <x:is>
          <x:t xml:space="preserve">Transfers to listed destinations including the Philippines, Egypt, Bangladesh, Sri Lanka, Indonesia, Nepal, Jordan, and Morocco</x:t>
        </x:is>
      </x:c>
      <x:c r="M10" s="9" t="str">
        <x:f t="shared" si="3">IF(C10="","",IF(N10&lt;&gt;"",N10,IF(O10&lt;&gt;"",O10,IF(P10&lt;&gt;"",P10,IF(Q10&lt;&gt;"",Q10,IF(R10&lt;&gt;"",R10,""))))))</x:f>
        <x:v>https://www.instagram.com/alinmapay/p/CC_U-JDB6yh/</x:v>
      </x:c>
      <x:c r="N10" s="4" t="inlineStr">
        <x:is>
          <x:t xml:space="preserve">https://www.instagram.com/alinmapay/p/CC_U-JDB6yh/</x:t>
        </x:is>
      </x:c>
      <x:c r="O10" s="4" t="inlineStr">
        <x:is>
          <x:t xml:space="preserve">https://www.instagram.com/alinmapay/p/CC_U-JDB6yh/</x:t>
        </x:is>
      </x:c>
      <x:c r="P10" s="4" t="inlineStr">
        <x:is>
          <x:t xml:space="preserve">https://x.com/alinmapay/status/1978784486424035774</x:t>
        </x:is>
      </x:c>
      <x:c r="Q10" s="63" t="inlineStr">
        <x:is>
          <x:t xml:space="preserve">https://www.facebook.com/AlinmaPaySA/posts/lower-fees-easier-transfers-send-money-to-india-and-bangladesh-through-alinmapay/1606878421439989/</x:t>
        </x:is>
      </x:c>
      <x:c r="R10" s="4"/>
      <x:c r="S10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10" s="8" t="n">
        <x:v>3</x:v>
      </x:c>
      <x:c r="U10" s="35" t="inlineStr">
        <x:is>
          <x:t xml:space="preserve">Instagram, X, 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Zero International Transaction Fees on Cashback Cards</x:t>
        </x:is>
      </x:c>
      <x:c r="D11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International card purchases and overseas ATM withdrawals</x:t>
        </x:is>
      </x:c>
      <x:c r="K11" s="4" t="inlineStr">
        <x:is>
          <x:t xml:space="preserve">Zero international transaction fees, first two international cash withdrawals free, plus cashback on eligible purchases</x:t>
        </x:is>
      </x:c>
      <x:c r="L11" s="4" t="inlineStr">
        <x:is>
          <x:t xml:space="preserve">alinma pay Cashback Cards</x:t>
        </x:is>
      </x:c>
      <x:c r="M11" s="9" t="str">
        <x:f t="shared" si="3">IF(C11="","",IF(N11&lt;&gt;"",N11,IF(O11&lt;&gt;"",O11,IF(P11&lt;&gt;"",P11,IF(Q11&lt;&gt;"",Q11,IF(R11&lt;&gt;"",R11,""))))))</x:f>
        <x:v>https://www.facebook.com/AlinmaPaySA/posts/%EF%B8%8F-fees-gonetravel-anywhere-and-use-your-alinmapay-cashback-cards-without-worryin/1619335260194305/</x:v>
      </x:c>
      <x:c r="N11" s="4" t="inlineStr">
        <x:is>
          <x:t xml:space="preserve">https://www.facebook.com/AlinmaPaySA/posts/%EF%B8%8F-fees-gonetravel-anywhere-and-use-your-alinmapay-cashback-cards-without-worryin/1619335260194305/</x:t>
        </x:is>
      </x:c>
      <x:c r="O11" s="63"/>
      <x:c r="P11" s="4"/>
      <x:c r="Q11" s="63" t="inlineStr">
        <x:is>
          <x:t xml:space="preserve">https://www.facebook.com/AlinmaPaySA/posts/%EF%B8%8F-fees-gonetravel-anywhere-and-use-your-alinmapay-cashback-cards-without-worryin/1619335260194305/</x:t>
        </x:is>
      </x:c>
      <x:c r="R11" s="4"/>
      <x:c r="S11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Musaned</x:t>
        </x:is>
      </x:c>
      <x:c r="C12" s="4" t="inlineStr">
        <x:is>
          <x:t xml:space="preserve">كاش باك 100% على رواتب عمالتك المنزلية</x:t>
        </x:is>
      </x:c>
      <x:c r="D12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2" s="5"/>
      <x:c r="F12" s="5" t="n">
        <x:v>46231.64892361111</x:v>
      </x:c>
      <x:c r="G12" s="5" t="n">
        <x:v>46384.0</x:v>
      </x:c>
      <x:c r="H12" s="7" t="n">
        <x:f t="shared" si="1">IF(OR(C12="",G12=""),"",G12-TODAY())</x:f>
        <x:v>121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https://www.alinmapay.com.sa/Offers/Musaned-Cashback</x:v>
      </x:c>
      <x:c r="N12" s="4" t="inlineStr">
        <x:is>
          <x:t xml:space="preserve">https://www.alinmapay.com.sa/Offers/Musaned-Cashback</x:t>
        </x:is>
      </x:c>
      <x:c r="O12" s="4" t="inlineStr">
        <x:is>
          <x:t xml:space="preserve">https://www.instagram.com/p/DbqaY05mm9E</x:t>
        </x:is>
      </x:c>
      <x:c r="P12" s="4" t="inlineStr">
        <x:is>
          <x:t xml:space="preserve">https://x.com/alinmapay/status/2082127730972176680</x:t>
        </x:is>
      </x:c>
      <x:c r="Q12" s="63" t="inlineStr">
        <x:is>
          <x:t xml:space="preserve">https://m.facebook.com/AlinmaPaySA/posts/pfbid02qzFxmfE6Ajm5LhhKy4EVeNqAVycQERoEyiAKqjyHfBhKQ13AdTQGqE9Wcrs39Fucl</x:t>
        </x:is>
      </x:c>
      <x:c r="R12" s="4"/>
      <x:c r="S12" s="4"/>
      <x:c r="T12" s="8" t="n">
        <x:v>4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Musaned</x:t>
        </x:is>
      </x:c>
      <x:c r="C13" s="4" t="inlineStr">
        <x:is>
          <x:t xml:space="preserve">Musaned Salary Transfer – 100% Cashback Draw</x:t>
        </x:is>
      </x:c>
      <x:c r="D13" s="4" t="inlineStr">
        <x:is>
          <x:t xml:space="preserve">Transfer a domestic worker's salary through Musaned in alinma pay for a chance to win 100% cashback.</x:t>
        </x:is>
      </x:c>
      <x:c r="E13" s="5"/>
      <x:c r="F13" s="5" t="n">
        <x:v>46220.50069444445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Domestic worker salary transfer through Musaned</x:t>
        </x:is>
      </x:c>
      <x:c r="K13" s="4" t="inlineStr">
        <x:is>
          <x:t xml:space="preserve">Three winners receive 100% cashback up to SAR 1,000</x:t>
        </x:is>
      </x:c>
      <x:c r="L13" s="4" t="inlineStr">
        <x:is>
          <x:t xml:space="preserve">alinma pay customers transferring domestic-worker salaries through Musaned</x:t>
        </x:is>
      </x:c>
      <x:c r="M13" s="9" t="str">
        <x:f t="shared" si="3">IF(C13="","",IF(N13&lt;&gt;"",N13,IF(O13&lt;&gt;"",O13,IF(P13&lt;&gt;"",P13,IF(Q13&lt;&gt;"",Q13,IF(R13&lt;&gt;"",R13,""))))))</x:f>
        <x:v>https://www.instagram.com/alinmapay/p/DbqaY05mm9E/</x:v>
      </x:c>
      <x:c r="N13" s="4" t="inlineStr">
        <x:is>
          <x:t xml:space="preserve">https://www.instagram.com/alinmapay/p/DbqaY05mm9E/</x:t>
        </x:is>
      </x:c>
      <x:c r="O13" s="4" t="inlineStr">
        <x:is>
          <x:t xml:space="preserve">https://www.instagram.com/alinmapay/p/DbqaY05mm9E/</x:t>
        </x:is>
      </x:c>
      <x:c r="P13" s="4" t="inlineStr">
        <x:is>
          <x:t xml:space="preserve">https://x.com/alinmapay/status/2085018248685232195</x:t>
        </x:is>
      </x:c>
      <x:c r="Q13" s="4"/>
      <x:c r="R13" s="4"/>
      <x:c r="S13" s="4" t="inlineStr">
        <x:is>
          <x:t xml:space="preserve">Official Instagram and X posts announce three winners, each receiving 100% cashback up to SAR 1,000. The campaign end date is not stated.</x:t>
        </x:is>
      </x:c>
      <x:c r="T13" s="8" t="n">
        <x:v>3</x:v>
      </x:c>
      <x:c r="U13" s="35" t="inlineStr">
        <x:is>
          <x:t xml:space="preserve">Instagram, X</x:t>
        </x:is>
      </x:c>
    </x:row>
    <x:row r="14" ht="46.650001525878906" customHeight="1">
      <x:c r="A14" s="8" t="n">
        <x:f t="shared" si="0"/>
        <x:v>6</x:v>
      </x:c>
      <x:c r="B14" s="4" t="inlineStr">
        <x:is>
          <x:t xml:space="preserve">Remittance</x:t>
        </x:is>
      </x:c>
      <x:c r="C14" s="4" t="inlineStr">
        <x:is>
          <x:t xml:space="preserve">Zero-Fee Transfers to India from SAR 700</x:t>
        </x:is>
      </x:c>
      <x:c r="D14" s="4" t="inlineStr">
        <x:is>
          <x:t xml:space="preserve">Transfers of SAR 700 or more to Indian bank accounts are promoted with zero transfer fees.</x:t>
        </x:is>
      </x:c>
      <x:c r="E14" s="5"/>
      <x:c r="F14" s="5" t="n">
        <x:v>46068.0</x:v>
      </x:c>
      <x:c r="G14" s="5"/>
      <x:c r="H14" s="7">
        <x:f t="shared" si="1"/>
      </x:c>
      <x:c r="I14" s="6" t="str">
        <x:f t="shared" si="2"/>
        <x:v>End Date Not Stated</x:v>
      </x:c>
      <x:c r="J14" s="4" t="inlineStr">
        <x:is>
          <x:t xml:space="preserve">International transfers to India</x:t>
        </x:is>
      </x:c>
      <x:c r="K14" s="4" t="inlineStr">
        <x:is>
          <x:t xml:space="preserve">Zero transfer fee for transfers of SAR 700 or more</x:t>
        </x:is>
      </x:c>
      <x:c r="L14" s="4" t="inlineStr">
        <x:is>
          <x:t xml:space="preserve">alinma pay Direct customers transferring to eligible Indian bank accounts</x:t>
        </x:is>
      </x:c>
      <x:c r="M14" s="9" t="str">
        <x:f t="shared" si="3"/>
        <x:v>https://www.facebook.com/AlinmaPaySA/videos/zero-fees-fast-transfers-to-india/873682655502395/</x:v>
      </x:c>
      <x:c r="N14" s="4" t="inlineStr">
        <x:is>
          <x:t xml:space="preserve">https://www.facebook.com/AlinmaPaySA/videos/zero-fees-fast-transfers-to-india/873682655502395/</x:t>
        </x:is>
      </x:c>
      <x:c r="O14" s="4"/>
      <x:c r="P14" s="4"/>
      <x:c r="Q14" s="4" t="inlineStr">
        <x:is>
          <x:t xml:space="preserve">https://www.facebook.com/AlinmaPaySA/videos/zero-fees-fast-transfers-to-india/873682655502395/</x:t>
        </x:is>
      </x:c>
      <x:c r="R14" s="4"/>
      <x:c r="S14" s="4" t="inlineStr">
        <x:is>
          <x:t xml:space="preserve">Campaign end date is not stated in the official video.</x:t>
        </x:is>
      </x:c>
      <x:c r="T14" s="8" t="n">
        <x:v>1</x:v>
      </x:c>
      <x:c r="U14" s="35" t="inlineStr">
        <x:is>
          <x:t xml:space="preserve">Facebook</x:t>
        </x:is>
      </x:c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