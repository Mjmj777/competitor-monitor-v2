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<x:sst xmlns:x="http://schemas.openxmlformats.org/spreadsheetml/2006/main">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</x:sst>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2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5</c:v>
                </c:pt>
                <c:pt idx="4">
                  <c:v>3</c:v>
                </c:pt>
                <c:pt idx="5">
                  <c:v>2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30</c:v>
                </c:pt>
                <c:pt idx="1">
                  <c:v>15</c:v>
                </c:pt>
                <c:pt idx="2">
                  <c:v>20</c:v>
                </c:pt>
                <c:pt idx="3">
                  <c:v>12</c:v>
                </c:pt>
                <c:pt idx="4">
                  <c:v>1</c:v>
                </c:pt>
                <c:pt idx="5">
                  <c:v>19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67</c:v>
                </c:pt>
                <c:pt idx="1">
                  <c:v>57</c:v>
                </c:pt>
                <c:pt idx="2">
                  <c:v>0</c:v>
                </c:pt>
                <c:pt idx="3">
                  <c:v>13</c:v>
                </c:pt>
                <c:pt idx="4">
                  <c:v>20</c:v>
                </c:pt>
                <c:pt idx="5">
                  <c:v>31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87</c:v>
                </c:pt>
                <c:pt idx="1">
                  <c:v>11</c:v>
                </c:pt>
                <c:pt idx="2">
                  <c:v>25</c:v>
                </c:pt>
                <c:pt idx="3">
                  <c:v>12</c:v>
                </c:pt>
                <c:pt idx="4">
                  <c:v>0</c:v>
                </c:pt>
                <c:pt idx="5">
                  <c:v>14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9</c:v>
                </c:pt>
                <c:pt idx="1">
                  <c:v>13</c:v>
                </c:pt>
                <c:pt idx="2">
                  <c:v>4</c:v>
                </c:pt>
                <c:pt idx="3">
                  <c:v>0</c:v>
                </c:pt>
                <c:pt idx="4">
                  <c:v>3</c:v>
                </c:pt>
                <c:pt idx="5">
                  <c:v>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2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46303.10113477538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46303.10170438169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5</x:v>
      </x:c>
    </x:row>
    <x:row r="6" ht="19" customHeight="1">
      <x:c r="A6" s="251" t="n">
        <x:f>SUM($Y$2:$Y$7)</x:f>
        <x:v>24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463</x:v>
      </x:c>
      <x:c r="H6" s="286"/>
      <x:c r="I6" s="211"/>
      <x:c r="J6" s="251" t="n">
        <x:f>$AE$12</x:f>
        <x:v>4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2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30</x:v>
      </x:c>
      <x:c r="Z12" s="289" t="n">
        <x:v>67</x:v>
      </x:c>
      <x:c r="AA12" s="289" t="n">
        <x:v>87</x:v>
      </x:c>
      <x:c r="AB12" s="289" t="n">
        <x:v>9</x:v>
      </x:c>
      <x:c r="AD12" s="289" t="inlineStr">
        <x:is>
          <x:t xml:space="preserve">Expiring ≤30 Days</x:t>
        </x:is>
      </x:c>
      <x:c r="AE12" s="289" t="n">
        <x:v>4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15</x:v>
      </x:c>
      <x:c r="Z13" s="289" t="n">
        <x:v>57</x:v>
      </x:c>
      <x:c r="AA13" s="289" t="n">
        <x:v>11</x:v>
      </x:c>
      <x:c r="AB13" s="289" t="n">
        <x:v>13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20</x:v>
      </x:c>
      <x:c r="Z14" s="289" t="n">
        <x:v>0</x:v>
      </x:c>
      <x:c r="AA14" s="289" t="n">
        <x:v>25</x:v>
      </x:c>
      <x:c r="AB14" s="289" t="n">
        <x:v>4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12</x:v>
      </x:c>
      <x:c r="Z15" s="289" t="n">
        <x:v>13</x:v>
      </x:c>
      <x:c r="AA15" s="289" t="n">
        <x:v>12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1</x:v>
      </x:c>
      <x:c r="Z16" s="289" t="n">
        <x:v>20</x:v>
      </x:c>
      <x:c r="AA16" s="289" t="n">
        <x:v>0</x:v>
      </x:c>
      <x:c r="AB16" s="289" t="n">
        <x:v>3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19</x:v>
      </x:c>
      <x:c r="Z17" s="289" t="n">
        <x:v>31</x:v>
      </x:c>
      <x:c r="AA17" s="289" t="n">
        <x:v>14</x:v>
      </x:c>
      <x:c r="AB17" s="289" t="n">
        <x:v>0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24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2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46310.0</x:v>
      </x:c>
      <x:c r="H9" s="7" t="n">
        <x:f t="shared" ref="H9:H53" si="1">IF(OR(C9="",G9=""),"",G9-TODAY())</x:f>
        <x:v>7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52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STC Bank Credit Card Launch</x:t>
        </x:is>
      </x:c>
      <x:c r="D10" s="4" t="inlineStr">
        <x:is>
          <x:t xml:space="preserve">Credit cards promoted with flexible cashback of up to 10% on selected categories and 1% on other purchases.</x:t>
        </x:is>
      </x:c>
      <x:c r="E10" s="5"/>
      <x:c r="F10" s="5" t="n">
        <x:v>46132.45142361111</x:v>
      </x:c>
      <x:c r="G10" s="5" t="n">
        <x:v>46310.0</x:v>
      </x:c>
      <x:c r="H10" s="7" t="n">
        <x:f t="shared" si="1">IF(OR(C10="",G10=""),"",G10-TODAY())</x:f>
        <x:v>7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≤7 Days</x:v>
      </x:c>
      <x:c r="J10" s="4" t="inlineStr">
        <x:is>
          <x:t xml:space="preserve">Credit-card purchases</x:t>
        </x:is>
      </x:c>
      <x:c r="K10" s="4" t="inlineStr">
        <x:is>
          <x:t xml:space="preserve">Flexible category cashback of up to 10%</x:t>
        </x:is>
      </x:c>
      <x:c r="L10" s="4" t="inlineStr">
        <x:is>
          <x:t xml:space="preserve">STC Bank credit-card customers</x:t>
        </x:is>
      </x:c>
      <x:c r="M10" s="9" t="str">
        <x:f>IF(C10="","",IF(N10&lt;&gt;"",N10,IF(O10&lt;&gt;"",O10,IF(P10&lt;&gt;"",P10,IF(Q10&lt;&gt;"",Q10,IF(R10&lt;&gt;"",R10,""))))))</x:f>
        <x:v>https://www.instagram.com/reel/DWots29j8fx/?hl=en</x:v>
      </x:c>
      <x:c r="N10" s="63" t="inlineStr">
        <x:is>
          <x:t xml:space="preserve">https://www.instagram.com/reel/DWots29j8fx/?hl=en</x:t>
        </x:is>
      </x:c>
      <x:c r="O10" s="4" t="inlineStr">
        <x:is>
          <x:t xml:space="preserve">https://www.instagram.com/reel/DWots29j8fx/?hl=en</x:t>
        </x:is>
      </x:c>
      <x:c r="P10" s="4" t="inlineStr">
        <x:is>
          <x:t xml:space="preserve">https://x.com/stcbank_ksa/status/2071639841348124772</x:t>
        </x:is>
      </x:c>
      <x:c r="Q10" s="63" t="inlineStr">
        <x:is>
          <x:t xml:space="preserve">https://www.facebook.com/share/v/1CqU3VtD85/</x:t>
        </x:is>
      </x:c>
      <x:c r="R10" s="4"/>
      <x:c r="S10" s="4"/>
      <x:c r="T10" s="8" t="n">
        <x:v>12</x:v>
      </x:c>
      <x:c r="U10" s="35" t="inlineStr">
        <x:is>
          <x:t xml:space="preserve">Instagram, X, Facebook, TikTok</x:t>
        </x:is>
      </x:c>
    </x:row>
    <x:row r="11" ht="46.650001525878906" customHeight="1">
      <x:c r="A11" s="8">
        <x:f t="shared" si="0">IF(C11="","",ROW()-8)</x:f>
      </x:c>
      <x:c r="B11" s="4"/>
      <x:c r="C11" s="4"/>
      <x:c r="D11" s="4"/>
      <x:c r="E11" s="5"/>
      <x:c r="F11" s="5"/>
      <x:c r="G11" s="5"/>
      <x:c r="H11" s="7">
        <x:f t="shared" si="1">IF(OR(C11="",G11=""),"",G11-TODAY())</x:f>
      </x:c>
      <x:c r="I11" s="6">
        <x:f t="shared" si="2">IF(C11="","",IF(G11="","End Date Not Stated",IF(G11&lt;TODAY(),"Expired",IF(G11&lt;=TODAY()+7,"Expiring ≤7 Days",IF(G11&lt;=TODAY()+30,"Expiring 8–30 Days","Active")))))</x:f>
      </x:c>
      <x:c r="J11" s="4"/>
      <x:c r="K11" s="4"/>
      <x:c r="L11" s="4"/>
      <x:c r="M11" s="9">
        <x:f t="shared" ref="M11:M53" si="4">IF(C11="","",IF(N11&lt;&gt;"",N11,IF(O11&lt;&gt;"",O11,IF(P11&lt;&gt;"",P11,IF(Q11&lt;&gt;"",Q11,IF(R11&lt;&gt;"",R11,""))))))</x:f>
      </x:c>
      <x:c r="N11" s="63"/>
      <x:c r="O11" s="4"/>
      <x:c r="P11" s="4"/>
      <x:c r="Q11" s="4"/>
      <x:c r="R11" s="4"/>
      <x:c r="S11" s="4"/>
      <x:c r="T11" s="5"/>
      <x:c r="U11" s="35"/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Transfer Internationally and Win Grand Prizes</x:t>
        </x:is>
      </x:c>
      <x:c r="D9" s="4" t="inlineStr">
        <x:is>
          <x:t xml:space="preserve">Grand Prize: Own Your Dream Home in Your Country. Cash Prizes Up to SAR 70,000.</x:t>
        </x:is>
      </x:c>
      <x:c r="E9" s="5"/>
      <x:c r="F9" s="5" t="n">
        <x:v>46295.0</x:v>
      </x:c>
      <x:c r="G9" s="5" t="n">
        <x:v>46387.0</x:v>
      </x:c>
      <x:c r="H9" s="7" t="n">
        <x:f t="shared" ref="H9:H42" si="1">IF(OR(C9="",G9=""),"",G9-TODAY())</x:f>
        <x:v>84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https://mobilypay.sa/en/offers/offer-67.html</x:v>
      </x:c>
      <x:c r="N9" s="63" t="inlineStr">
        <x:is>
          <x:t xml:space="preserve">https://mobilypay.sa/en/offers/offer-67.html</x:t>
        </x:is>
      </x:c>
      <x:c r="O9" s="63"/>
      <x:c r="P9" s="63"/>
      <x:c r="Q9" s="63" t="inlineStr">
        <x:is>
          <x:t xml:space="preserve">https://m.facebook.com/mobilypay/posts/pfbid02Qjg2B5p1vrSEfYWUBThCo6uqH2PqXacAfB73rqZjeiHHNktDee33abKoxRfmfBvwl</x:t>
        </x:is>
      </x:c>
      <x:c r="R9" s="4"/>
      <x:c r="S9" s="4"/>
      <x:c r="T9" s="8" t="n">
        <x:v>2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23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8–30 Days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31 Oct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46326.0</x:v>
      </x:c>
      <x:c r="H12" s="7" t="n">
        <x:f t="shared" si="1">IF(OR(C12="",G12=""),"",G12-TODAY())</x:f>
        <x:v>23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 t="inlineStr">
        <x:is>
          <x:t xml:space="preserve">https://m.facebook.com/mobilypay/posts/pfbid0GWrj6drx2V2e6HdVw9hrRjBmGCZVD5emPrFueMyDERit7HWbDdAiJv6fyrbwgP2rl</x:t>
        </x:is>
      </x:c>
      <x:c r="R13" s="63"/>
      <x:c r="S13" s="4"/>
      <x:c r="T13" s="8" t="n">
        <x:v>1</x:v>
      </x:c>
      <x:c r="U13" s="35" t="inlineStr">
        <x:is>
          <x:t xml:space="preserve">Facebook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7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84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22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27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81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10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84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