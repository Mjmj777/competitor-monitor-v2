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<x:sst xmlns:x="http://schemas.openxmlformats.org/spreadsheetml/2006/main">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</x:sst>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9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34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78</c:v>
                </c:pt>
                <c:pt idx="1">
                  <c:v>13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46265.87853967969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46265.87949758043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29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446</x:v>
      </x:c>
      <x:c r="H6" s="286"/>
      <x:c r="I6" s="211"/>
      <x:c r="J6" s="251" t="n">
        <x:f>$AE$12</x:f>
        <x:v>7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5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57</x:v>
      </x:c>
      <x:c r="AA12" s="289" t="n">
        <x:v>78</x:v>
      </x:c>
      <x:c r="AB12" s="289" t="n">
        <x:v>1</x:v>
      </x:c>
      <x:c r="AD12" s="289" t="inlineStr">
        <x:is>
          <x:t xml:space="preserve">Expiring ≤30 Days</x:t>
        </x:is>
      </x:c>
      <x:c r="AE12" s="289" t="n">
        <x:v>7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34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30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Trips For hotel and flight reservations</x:t>
        </x:is>
      </x:c>
      <x:c r="D10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10" s="5"/>
      <x:c r="F10" s="5" t="n">
        <x:v>46250.0</x:v>
      </x:c>
      <x:c r="G10" s="5" t="n">
        <x:v>46265.0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https://mobilypay.sa/en/offers/offer-57.html</x:v>
      </x:c>
      <x:c r="N10" s="4" t="inlineStr">
        <x:is>
          <x:t xml:space="preserve">https://mobilypay.sa/en/offers/offer-57.html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 t="inlineStr">
        <x:is>
          <x:t xml:space="preserve">https://www.facebook.com/mobilypay/videos/sar-20000-is-waiting-for-you-make-an-international-transfer-with-mobilypay-and-i/4300117560266135/</x:t>
        </x:is>
      </x:c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61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30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5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صفر رسوم على المشتريات الدولية</x:t>
        </x:is>
      </x:c>
      <x:c r="D12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2" s="5"/>
      <x:c r="F12" s="5" t="n">
        <x:v>46197.0</x:v>
      </x:c>
      <x:c r="G12" s="5" t="n">
        <x:v>46265.0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https://www.alinmapay.com.sa/Offers/OIF-JUN2026</x:v>
      </x:c>
      <x:c r="N12" s="4" t="inlineStr">
        <x:is>
          <x:t xml:space="preserve">https://www.alinmapay.com.sa/Offers/OIF-JUN2026</x:t>
        </x:is>
      </x:c>
      <x:c r="O12" s="4"/>
      <x:c r="P12" s="4"/>
      <x:c r="Q12" s="63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عرض الهند على رسوم التحويلات الدولية</x:t>
        </x:is>
      </x:c>
      <x:c r="D13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3" s="5"/>
      <x:c r="F13" s="5" t="n">
        <x:v>46068.0</x:v>
      </x:c>
      <x:c r="G13" s="5" t="n">
        <x:v>46387.0</x:v>
      </x:c>
      <x:c r="H13" s="7" t="n">
        <x:f t="shared" si="1">IF(OR(C13="",G13=""),"",G13-TODAY())</x:f>
        <x:v>122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 t="inlineStr">
        <x:is>
          <x:t xml:space="preserve">Zero transfer fee for transfers of SAR 700 or more</x:t>
        </x:is>
      </x:c>
      <x:c r="L13" s="4" t="inlineStr">
        <x:is>
          <x:t xml:space="preserve">alinma pay Direct customers transferring to eligible Indian bank accounts</x:t>
        </x:is>
      </x:c>
      <x:c r="M13" s="9" t="str">
        <x:f t="shared" si="3">IF(C13="","",IF(N13&lt;&gt;"",N13,IF(O13&lt;&gt;"",O13,IF(P13&lt;&gt;"",P13,IF(Q13&lt;&gt;"",Q13,IF(R13&lt;&gt;"",R13,""))))))</x:f>
        <x:v>https://www.alinmapay.com.sa/Offers/India-Transfer-Fee-Offer-Aug26</x:v>
      </x:c>
      <x:c r="N13" s="4" t="inlineStr">
        <x:is>
          <x:t xml:space="preserve">https://www.alinmapay.com.sa/Offers/India-Transfer-Fee-Offer-Aug26</x:t>
        </x:is>
      </x:c>
      <x:c r="O13" s="4"/>
      <x:c r="P13" s="4"/>
      <x:c r="Q13" s="4" t="inlineStr">
        <x:is>
          <x:t xml:space="preserve">https://www.facebook.com/AlinmaPaySA/videos/zero-fees-fast-transfers-to-india/873682655502395/</x:t>
        </x:is>
      </x:c>
      <x:c r="R13" s="4" t="inlineStr">
        <x:is>
          <x:t xml:space="preserve">https://www.tiktok.com/@alinmapay/video/7586667265882443024</x:t>
        </x:is>
      </x:c>
      <x:c r="S13" s="4"/>
      <x:c r="T13" s="8" t="n">
        <x:v>2</x:v>
      </x:c>
      <x:c r="U13" s="35" t="inlineStr">
        <x:is>
          <x:t xml:space="preserve">Facebook, TikTok</x:t>
        </x:is>
      </x:c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