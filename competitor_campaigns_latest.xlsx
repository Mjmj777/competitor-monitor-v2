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<x:sst xmlns:x="http://schemas.openxmlformats.org/spreadsheetml/2006/main">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</x:sst>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6</c:v>
                </c:pt>
                <c:pt idx="4">
                  <c:v>3</c:v>
                </c:pt>
                <c:pt idx="5">
                  <c:v>7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3</c:v>
                </c:pt>
                <c:pt idx="2">
                  <c:v>1</c:v>
                </c:pt>
                <c:pt idx="3">
                  <c:v>9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33</c:v>
                </c:pt>
                <c:pt idx="1">
                  <c:v>8</c:v>
                </c:pt>
                <c:pt idx="2">
                  <c:v>22</c:v>
                </c:pt>
                <c:pt idx="3">
                  <c:v>16</c:v>
                </c:pt>
                <c:pt idx="4">
                  <c:v>9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55</c:v>
                </c:pt>
                <c:pt idx="1">
                  <c:v>36</c:v>
                </c:pt>
                <c:pt idx="2">
                  <c:v>30</c:v>
                </c:pt>
                <c:pt idx="3">
                  <c:v>12</c:v>
                </c:pt>
                <c:pt idx="4">
                  <c:v>31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70</c:v>
                </c:pt>
                <c:pt idx="1">
                  <c:v>13</c:v>
                </c:pt>
                <c:pt idx="2">
                  <c:v>24</c:v>
                </c:pt>
                <c:pt idx="3">
                  <c:v>16</c:v>
                </c:pt>
                <c:pt idx="4">
                  <c:v>10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46265.12824747203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46265.132153946324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3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9</x:v>
      </x:c>
    </x:row>
    <x:row r="6" ht="19" customHeight="1">
      <x:c r="A6" s="251" t="n">
        <x:f>SUM($Y$2:$Y$7)</x:f>
        <x:v>30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437</x:v>
      </x:c>
      <x:c r="H6" s="286"/>
      <x:c r="I6" s="211"/>
      <x:c r="J6" s="251" t="n">
        <x:f>$AE$12</x:f>
        <x:v>6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7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33</x:v>
      </x:c>
      <x:c r="Z12" s="289" t="n">
        <x:v>55</x:v>
      </x:c>
      <x:c r="AA12" s="289" t="n">
        <x:v>70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6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36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16</x:v>
      </x:c>
      <x:c r="Z15" s="289" t="n">
        <x:v>12</x:v>
      </x:c>
      <x:c r="AA15" s="289" t="n">
        <x:v>16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9</x:v>
      </x:c>
      <x:c r="Z16" s="289" t="n">
        <x:v>31</x:v>
      </x:c>
      <x:c r="AA16" s="289" t="n">
        <x:v>10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18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32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/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7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49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0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https://mobilypay.sa/en/offers/offer-57.html</x:v>
      </x:c>
      <x:c r="N9" s="63" t="inlineStr">
        <x:is>
          <x:t xml:space="preserve">https://mobilypay.sa/en/offers/offer-57.html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61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30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24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5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122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7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عرض الهند على رسوم التحويلات الدولية</x:t>
        </x:is>
      </x:c>
      <x:c r="D9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9" s="5"/>
      <x:c r="F9" s="5" t="n">
        <x:v>46242.0</x:v>
      </x:c>
      <x:c r="G9" s="5" t="n">
        <x:v>46387.0</x:v>
      </x:c>
      <x:c r="H9" s="7" t="n">
        <x:f t="shared" ref="H9:H42" si="1">IF(OR(C9="",G9=""),"",G9-TODAY())</x:f>
        <x:v>122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https://www.alinmapay.com.sa/Offers/India-Transfer-Fee-Offer-Aug26</x:v>
      </x:c>
      <x:c r="N9" s="4" t="inlineStr">
        <x:is>
          <x:t xml:space="preserve">https://www.alinmapay.com.sa/Offers/India-Transfer-Fee-Offer-Aug26</x:t>
        </x:is>
      </x:c>
      <x:c r="O9" s="63"/>
      <x:c r="P9" s="4"/>
      <x:c r="Q9" s="63"/>
      <x:c r="R9" s="4" t="inlineStr">
        <x:is>
          <x:t xml:space="preserve">https://www.tiktok.com/@alinmapay/video/7586667265882443024</x:t>
        </x:is>
      </x:c>
      <x:c r="S9" s="4"/>
      <x:c r="T9" s="8" t="n">
        <x:v>1</x:v>
      </x:c>
      <x:c r="U9" s="35" t="inlineStr">
        <x:is>
          <x:t xml:space="preserve">TikTok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International Transfers for SAR 5</x:t>
        </x:is>
      </x:c>
      <x:c r="D10" s="4" t="inlineStr">
        <x:is>
          <x:t xml:space="preserve">Flat SAR 5 transfer fee to multiple international corridors.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through alinma pay Direct</x:t>
        </x:is>
      </x:c>
      <x:c r="K10" s="4" t="inlineStr">
        <x:is>
          <x:t xml:space="preserve">Flat SAR 5 transfer fee</x:t>
        </x:is>
      </x:c>
      <x:c r="L10" s="4" t="inlineStr">
        <x:is>
          <x:t xml:space="preserve">Transfers to listed destinations including the Philippines, Egypt, Bangladesh, Sri Lanka, Indonesia, Nepal, Jordan, and Morocco</x:t>
        </x:is>
      </x:c>
      <x:c r="M10" s="9" t="str">
        <x:f t="shared" si="3">IF(C10="","",IF(N10&lt;&gt;"",N10,IF(O10&lt;&gt;"",O10,IF(P10&lt;&gt;"",P10,IF(Q10&lt;&gt;"",Q10,IF(R10&lt;&gt;"",R10,""))))))</x:f>
        <x:v>https://www.instagram.com/alinmapay/p/CC_U-JDB6yh/</x:v>
      </x:c>
      <x:c r="N10" s="4" t="inlineStr">
        <x:is>
          <x:t xml:space="preserve">https://www.instagram.com/alinmapay/p/CC_U-JDB6yh/</x:t>
        </x:is>
      </x:c>
      <x:c r="O10" s="4" t="inlineStr">
        <x:is>
          <x:t xml:space="preserve">https://www.instagram.com/alinmapay/p/CC_U-JDB6yh/</x:t>
        </x:is>
      </x:c>
      <x:c r="P10" s="4" t="inlineStr">
        <x:is>
          <x:t xml:space="preserve">https://x.com/alinmapay/status/1978784486424035774</x:t>
        </x:is>
      </x:c>
      <x:c r="Q10" s="63" t="inlineStr">
        <x:is>
          <x:t xml:space="preserve">https://www.facebook.com/AlinmaPaySA/posts/lower-fees-easier-transfers-send-money-to-india-and-bangladesh-through-alinmapay/1606878421439989/</x:t>
        </x:is>
      </x:c>
      <x:c r="R10" s="4"/>
      <x:c r="S10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0" s="8" t="n">
        <x:v>3</x:v>
      </x:c>
      <x:c r="U10" s="35" t="inlineStr">
        <x:is>
          <x:t xml:space="preserve">Instagram, X,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Zero International Transaction Fees on Cashback Cards</x:t>
        </x:is>
      </x:c>
      <x:c r="D11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card purchases and overseas ATM withdrawals</x:t>
        </x:is>
      </x:c>
      <x:c r="K11" s="4" t="inlineStr">
        <x:is>
          <x:t xml:space="preserve">Zero international transaction fees, first two international cash withdrawals free, plus cashback on eligible purchases</x:t>
        </x:is>
      </x:c>
      <x:c r="L11" s="4" t="inlineStr">
        <x:is>
          <x:t xml:space="preserve">alinma pay Cashback Cards</x:t>
        </x:is>
      </x:c>
      <x:c r="M11" s="9" t="str">
        <x:f t="shared" si="3">IF(C11="","",IF(N11&lt;&gt;"",N11,IF(O11&lt;&gt;"",O11,IF(P11&lt;&gt;"",P11,IF(Q11&lt;&gt;"",Q11,IF(R11&lt;&gt;"",R11,""))))))</x:f>
        <x:v>https://www.facebook.com/AlinmaPaySA/posts/%EF%B8%8F-fees-gonetravel-anywhere-and-use-your-alinmapay-cashback-cards-without-worryin/1619335260194305/</x:v>
      </x:c>
      <x:c r="N11" s="4" t="inlineStr">
        <x:is>
          <x:t xml:space="preserve">https://www.facebook.com/AlinmaPaySA/posts/%EF%B8%8F-fees-gonetravel-anywhere-and-use-your-alinmapay-cashback-cards-without-worryin/1619335260194305/</x:t>
        </x:is>
      </x:c>
      <x:c r="O11" s="63"/>
      <x:c r="P11" s="4"/>
      <x:c r="Q11" s="63" t="inlineStr">
        <x:is>
          <x:t xml:space="preserve">https://www.facebook.com/AlinmaPaySA/posts/%EF%B8%8F-fees-gonetravel-anywhere-and-use-your-alinmapay-cashback-cards-without-worryin/1619335260194305/</x:t>
        </x:is>
      </x:c>
      <x:c r="R11" s="4"/>
      <x:c r="S11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Musaned</x:t>
        </x:is>
      </x:c>
      <x:c r="C12" s="4" t="inlineStr">
        <x:is>
          <x:t xml:space="preserve">كاش باك 100% على رواتب عمالتك المنزلية</x:t>
        </x:is>
      </x:c>
      <x:c r="D12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2" s="5"/>
      <x:c r="F12" s="5" t="n">
        <x:v>46231.64892361111</x:v>
      </x:c>
      <x:c r="G12" s="5" t="n">
        <x:v>46384.0</x:v>
      </x:c>
      <x:c r="H12" s="7" t="n">
        <x:f t="shared" si="1">IF(OR(C12="",G12=""),"",G12-TODAY())</x:f>
        <x:v>119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https://www.alinmapay.com.sa/Offers/Musaned-Cashback</x:v>
      </x:c>
      <x:c r="N12" s="4" t="inlineStr">
        <x:is>
          <x:t xml:space="preserve">https://www.alinmapay.com.sa/Offers/Musaned-Cashback</x:t>
        </x:is>
      </x:c>
      <x:c r="O12" s="4"/>
      <x:c r="P12" s="4" t="inlineStr">
        <x:is>
          <x:t xml:space="preserve">https://x.com/alinmapay/status/2082127730972176680</x:t>
        </x:is>
      </x:c>
      <x:c r="Q12" s="63" t="inlineStr">
        <x:is>
          <x:t xml:space="preserve">https://m.facebook.com/AlinmaPaySA/posts/pfbid02qzFxmfE6Ajm5LhhKy4EVeNqAVycQERoEyiAKqjyHfBhKQ13AdTQGqE9Wcrs39Fucl</x:t>
        </x:is>
      </x:c>
      <x:c r="R12" s="4"/>
      <x:c r="S12" s="4"/>
      <x:c r="T12" s="8" t="n">
        <x:v>3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/>
      <x:c r="F13" s="5" t="n">
        <x:v>46220.50069444445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https://www.instagram.com/alinmapay/p/DbqaY05mm9E/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8" t="n">
        <x:v>4</x:v>
      </x:c>
      <x:c r="U13" s="35" t="inlineStr">
        <x:is>
          <x:t xml:space="preserve">Instagram, X</x:t>
        </x:is>
      </x:c>
    </x:row>
    <x:row r="14" ht="46.650001525878906" customHeight="1">
      <x:c r="A14" s="8" t="n">
        <x:f t="shared" si="0"/>
        <x:v>6</x:v>
      </x:c>
      <x:c r="B14" s="4" t="inlineStr">
        <x:is>
          <x:t xml:space="preserve">Card</x:t>
        </x:is>
      </x:c>
      <x:c r="C14" s="4" t="inlineStr">
        <x:is>
          <x:t xml:space="preserve">صفر رسوم على المشتريات الدولية</x:t>
        </x:is>
      </x:c>
      <x:c r="D14" s="4" t="inlineStr">
        <x:is>
          <x:t xml:space="preserve">استمتع بصفر رسوم على مشترياتك الدولية مع بطاقة الإنماء باي كاش باك صفر رسوم على عمليات الشراء الدولية عبر نقاط البيع خارج المملكة العربية السعودية.</x:t>
        </x:is>
      </x:c>
      <x:c r="E14" s="5"/>
      <x:c r="F14" s="5" t="n">
        <x:v>46197.0</x:v>
      </x:c>
      <x:c r="G14" s="5" t="n">
        <x:v>46265.0</x:v>
      </x:c>
      <x:c r="H14" s="7" t="n">
        <x:f t="shared" si="1"/>
        <x:v>0</x:v>
      </x:c>
      <x:c r="I14" s="6" t="str">
        <x:f t="shared" si="2"/>
        <x:v>Expiring ≤7 Days</x:v>
      </x:c>
      <x:c r="J14" s="4"/>
      <x:c r="K14" s="4"/>
      <x:c r="L14" s="4"/>
      <x:c r="M14" s="9" t="str">
        <x:f t="shared" si="3"/>
        <x:v>https://www.alinmapay.com.sa/Offers/OIF-JUN2026</x:v>
      </x:c>
      <x:c r="N14" s="4" t="inlineStr">
        <x:is>
          <x:t xml:space="preserve">https://www.alinmapay.com.sa/Offers/OIF-JUN2026</x:t>
        </x:is>
      </x:c>
      <x:c r="O14" s="4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 t="n">
        <x:f t="shared" si="0"/>
        <x:v>7</x:v>
      </x:c>
      <x:c r="B15" s="4" t="inlineStr">
        <x:is>
          <x:t xml:space="preserve">Remittance</x:t>
        </x:is>
      </x:c>
      <x:c r="C15" s="4" t="inlineStr">
        <x:is>
          <x:t xml:space="preserve">Zero-Fee Transfers to India from SAR 700</x:t>
        </x:is>
      </x:c>
      <x:c r="D15" s="4" t="inlineStr">
        <x:is>
          <x:t xml:space="preserve">Transfers of SAR 700 or more to Indian bank accounts are promoted with zero transfer fees.</x:t>
        </x:is>
      </x:c>
      <x:c r="E15" s="5"/>
      <x:c r="F15" s="5" t="n">
        <x:v>46068.0</x:v>
      </x:c>
      <x:c r="G15" s="5"/>
      <x:c r="H15" s="7">
        <x:f t="shared" si="1"/>
      </x:c>
      <x:c r="I15" s="6" t="str">
        <x:f t="shared" si="2"/>
        <x:v>End Date Not Stated</x:v>
      </x:c>
      <x:c r="J15" s="4" t="inlineStr">
        <x:is>
          <x:t xml:space="preserve">International transfers to India</x:t>
        </x:is>
      </x:c>
      <x:c r="K15" s="4" t="inlineStr">
        <x:is>
          <x:t xml:space="preserve">Zero transfer fee for transfers of SAR 700 or more</x:t>
        </x:is>
      </x:c>
      <x:c r="L15" s="4" t="inlineStr">
        <x:is>
          <x:t xml:space="preserve">alinma pay Direct customers transferring to eligible Indian bank accounts</x:t>
        </x:is>
      </x:c>
      <x:c r="M15" s="9" t="str">
        <x:f t="shared" si="3"/>
        <x:v>https://www.facebook.com/AlinmaPaySA/videos/zero-fees-fast-transfers-to-india/873682655502395/</x:v>
      </x:c>
      <x:c r="N15" s="4" t="inlineStr">
        <x:is>
          <x:t xml:space="preserve">https://www.facebook.com/AlinmaPaySA/videos/zero-fees-fast-transfers-to-india/873682655502395/</x:t>
        </x:is>
      </x:c>
      <x:c r="O15" s="4"/>
      <x:c r="P15" s="4"/>
      <x:c r="Q15" s="4" t="inlineStr">
        <x:is>
          <x:t xml:space="preserve">https://www.facebook.com/AlinmaPaySA/videos/zero-fees-fast-transfers-to-india/873682655502395/</x:t>
        </x:is>
      </x:c>
      <x:c r="R15" s="4"/>
      <x:c r="S15" s="4" t="inlineStr">
        <x:is>
          <x:t xml:space="preserve">Campaign end date is not stated in the official video.</x:t>
        </x:is>
      </x:c>
      <x:c r="T15" s="8" t="n">
        <x:v>1</x:v>
      </x:c>
      <x:c r="U15" s="35" t="inlineStr">
        <x:is>
          <x:t xml:space="preserve">Facebook</x:t>
        </x:is>
      </x:c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