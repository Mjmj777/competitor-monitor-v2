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2d58d1a9e864337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168a2df8c4a547f3"/>
    <x:sheet name="STC Bank" sheetId="2" ns1:id="Raea0d815ed284158"/>
    <x:sheet name="barq" sheetId="3" ns1:id="R3956992296624e20"/>
    <x:sheet name="Mobily Pay" sheetId="4" ns1:id="Ra364fe89271e48fe"/>
    <x:sheet name="tiqmo" sheetId="5" ns1:id="R90f32dfcfbf845c2"/>
    <x:sheet name="urpay" sheetId="6" ns1:id="R535a0cb840fa43d6"/>
    <x:sheet name="alinma pay" sheetId="7" ns1:id="R1396fb174f6d462a"/>
    <x:sheet name="Update Guide" sheetId="8" ns1:id="R6a9044efb54e437c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<x:sst xmlns:x="http://schemas.openxmlformats.org/spreadsheetml/2006/main">
  <x:si>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Competitor Campaigns – Remittance-Focused Management Reference</x:t>
  </x:si>
  <x:si>
    <x:t xml:space="preserve">STC Bank | barq | Mobily Pay | tiqmo | urpay | alinma pay</x:t>
  </x:si>
  <x:si>
    <x:t xml:space="preserve">Status Calculated As Of</x:t>
  </x:si>
  <x:si>
    <x:t xml:space="preserve">Merchant partner discounts are retained as a Merchant Offers Portfolio for reference, but are excluded from all Campaign KPIs and campaign-mix analysis.</x:t>
  </x:si>
  <x:si>
    <x:t xml:space="preserve">Current Campaigns</x:t>
  </x:si>
  <x:si>
    <x:t xml:space="preserve">Remittance Campaigns</x:t>
  </x:si>
  <x:si>
    <x:t xml:space="preserve">Merchant Offers (Reference)</x:t>
  </x:si>
  <x:si>
    <x:t xml:space="preserve">Expiring Campaigns ≤30d</x:t>
  </x:si>
  <x:si>
    <x:t xml:space="preserve">Expired Campaigns</x:t>
  </x:si>
  <x:si>
    <x:t xml:space="preserve">Competitor</x:t>
  </x:si>
  <x:si>
    <x:t xml:space="preserve">Active &gt;30d</x:t>
  </x:si>
  <x:si>
    <x:t xml:space="preserve">End Date Not Stated</x:t>
  </x:si>
  <x:si>
    <x:t xml:space="preserve">Expiring ≤7d</x:t>
  </x:si>
  <x:si>
    <x:t xml:space="preserve">Expiring 8–30d</x:t>
  </x:si>
  <x:si>
    <x:t xml:space="preserve">Expired</x:t>
  </x:si>
  <x:si>
    <x:t xml:space="preserve">Remittance</x:t>
  </x:si>
  <x:si>
    <x:t xml:space="preserve">Musaned</x:t>
  </x:si>
  <x:si>
    <x:t xml:space="preserve">SADAD</x:t>
  </x:si>
  <x:si>
    <x:t xml:space="preserve">Card</x:t>
  </x:si>
  <x:si>
    <x:t xml:space="preserve">Engagement</x:t>
  </x:si>
  <x:si>
    <x:t xml:space="preserve">STC Bank</x:t>
  </x:si>
  <x:si>
    <x:t xml:space="preserve">barq</x:t>
  </x:si>
  <x:si>
    <x:t xml:space="preserve">Mobily Pay</x:t>
  </x:si>
  <x:si>
    <x:t xml:space="preserve">tiqmo</x:t>
  </x:si>
  <x:si>
    <x:t xml:space="preserve">urpay</x:t>
  </x:si>
  <x:si>
    <x:t xml:space="preserve">alinma pay</x:t>
  </x:si>
  <x:si>
    <x:t xml:space="preserve">Verified Current Campaign Count by Category – Merchant Offers Excluded</x:t>
  </x:si>
  <x:si>
    <x:t xml:space="preserve">Campaign Category</x:t>
  </x:si>
  <x:si>
    <x:t xml:space="preserve">Market Count</x:t>
  </x:si>
  <x:si>
    <x:t xml:space="preserve">Other</x:t>
  </x:si>
  <x:si>
    <x:t xml:space="preserve">Market Total</x:t>
  </x:si>
  <x:si>
    <x:t xml:space="preserve">Merchant Offers Portfolio – Reference Only (Not Counted as Campaigns)</x:t>
  </x:si>
  <x:si>
    <x:t xml:space="preserve">Total Merchant Offers</x:t>
  </x:si>
  <x:si>
    <x:t xml:space="preserve">Current / Undated</x:t>
  </x:si>
  <x:si>
    <x:t xml:space="preserve">Dynamic Management Signals</x:t>
  </x:si>
  <x:si>
    <x:t xml:space="preserve">Directly Verified Campaign Publications by Social Platform – Merchant Excluded</x:t>
  </x:si>
  <x:si>
    <x:t xml:space="preserve">Instagram</x:t>
  </x:si>
  <x:si>
    <x:t xml:space="preserve">X</x:t>
  </x:si>
  <x:si>
    <x:t xml:space="preserve">Facebook</x:t>
  </x:si>
  <x:si>
    <x:t xml:space="preserve">TikTok</x:t>
  </x:si>
  <x:si>
    <x:t xml:space="preserve">Multi-platform Campaigns</x:t>
  </x:si>
  <x:si>
    <x:t xml:space="preserve">Reporting Convention and Rationale</x:t>
  </x:si>
  <x:si>
    <x:t xml:space="preserve">• Campaign KPIs exclude Merchant records. Individual partner discounts are treated as promotional offers/tactics within a Merchant Offers Portfolio.</x:t>
  </x:si>
  <x:si>
    <x:t xml:space="preserve">• Do not create one artificial campaign per merchant. If a management roll-up is required, use the program label “Merchant Offers Portfolio” rather than counting each merchant as a campaign.</x:t>
  </x:si>
  <x:si>
    <x:t xml:space="preserve">• Published Social Platforms and the platform matrix use only direct specific official post URLs. A campaign may count in multiple platform columns when separate official posts were verified.</x:t>
  </x:si>
  <x:si>
    <x:t xml:space="preserve">• Remittance is the priority target category and is highlighted in blue throughout the workbook.</x:t>
  </x:si>
  <x:si>
    <x:t xml:space="preserve">STC Bank – Verified Campaign Inventory</x:t>
  </x:si>
  <x:si>
    <x:t xml:space="preserve">Campaign KPIs exclude Merchant records. Merchant offers remain available as a reference portfolio.</x:t>
  </x:si>
  <x:si>
    <x:t xml:space="preserve">Blue rows = Remittance priority | Gold rows = Merchant reference only | Published Social Platforms uses direct specific post links only</x:t>
  </x:si>
  <x:si>
    <x:t xml:space="preserve">Verified Campaigns</x:t>
  </x:si>
  <x:si>
    <x:t xml:space="preserve">Record ID</x:t>
  </x:si>
  <x:si>
    <x:t xml:space="preserve">Campaign Name</x:t>
  </x:si>
  <x:si>
    <x:t xml:space="preserve">Summary</x:t>
  </x:si>
  <x:si>
    <x:t xml:space="preserve">Published Date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</x:si>
  <x:si>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</x:si>
  <x:si>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</x:si>
  <x:si>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</x:si>
  <x:si>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</x:si>
  <x:si>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</x:si>
  <x:si>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</x:si>
  <x:si>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</x:si>
  <x:si>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</x:si>
  <x:si>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</x:si>
  <x:si>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</x:si>
  <x:si>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</x:si>
  <x:si>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</x:si>
  <x:si>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</x:si>
  <x:si>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</x:si>
  <x:si>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Last Reviewed</x:t>
  </x:si>
  <x:si>
    <x:t xml:space="preserve">Published Social Platforms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</x:si>
  <x:si>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</x:si>
  <x:si>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</x:si>
  <x:si>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</x:si>
  <x:si>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</x:si>
  <x:si>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</x:si>
  <x:si>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</x:si>
  <x:si>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</x:si>
  <x:si>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</x:si>
  <x:si>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</x:si>
  <x:si>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</x:si>
  <x:si>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</x:si>
  <x:si>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</x:si>
  <x:si>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</x:si>
  <x:si>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</x:si>
  <x:si>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</x:si>
  <x:si>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</x:si>
  <x:si>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</x:si>
  <x:si>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</x:si>
  <x:si>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</x:si>
  <x:si>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</x:si>
  <x:si>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</x:si>
  <x:si>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</x:si>
  <x:si>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</x:si>
  <x:si>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</x:si>
  <x:si>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</x:si>
  <x:si>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</x:si>
  <x:si>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</x:si>
  <x:si>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</x:si>
  <x:si>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</x:si>
  <x:si>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</x:si>
  <x:si>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</x:si>
  <x:si>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</x:si>
  <x:si>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</x:si>
  <x:si>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</x:si>
  <x:si>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</x:si>
  <x:si>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</x:si>
  <x:si>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</x:si>
  <x:si>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</x:si>
  <x:si>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</x:si>
  <x:si>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</x:si>
  <x:si>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</x:si>
  <x:si>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</x:si>
  <x:si>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</x:si>
  <x:si>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</x:si>
  <x:si>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</x:si>
  <x:si>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</x:si>
  <x:si>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</x:si>
  <x:si>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</x:si>
  <x:si>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</x:si>
  <x:si>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</x:si>
  <x:si>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</x:si>
  <x:si>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</x:si>
  <x:si>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</x:si>
  <x:si>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</x:si>
  <x:si>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</x:si>
  <x:si>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</x:si>
  <x:si>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</x:si>
  <x:si>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</x:si>
  <x:si>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</x:si>
  <x:si>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</x:si>
  <x:si>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</x:si>
  <x:si>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</x:si>
  <x:si>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</x:si>
  <x:si>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</x:si>
  <x:si>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</x:si>
  <x:si>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</x:si>
  <x:si>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</x:si>
  <x:si>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</x:si>
  <x:si>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</x:si>
  <x:si>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</x:si>
  <x:si>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</x:si>
  <x:si>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</x:si>
  <x:si>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</x:si>
  <x:si>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</x:si>
  <x:si>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</x:si>
  <x:si>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</x:si>
  <x:si>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</x:si>
  <x:si>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</x:si>
  <x:si>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</x:si>
  <x:si>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</x:si>
  <x:si>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</x:si>
  <x:si>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</x:si>
  <x:si>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</x:si>
  <x:si>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</x:si>
  <x:si>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</x:si>
  <x:si>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</x:si>
  <x:si>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</x:si>
  <x:si>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</x:si>
  <x:si>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</x:si>
  <x:si>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</x:si>
  <x:si>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</x:si>
  <x:si>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</x:si>
  <x:si>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</x:si>
  <x:si>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</x:si>
  <x:si>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</x:si>
  <x:si>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</x:si>
  <x:si>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</x:si>
  <x:si>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</x:si>
  <x:si>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</x:si>
  <x:si>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</x:si>
  <x:si>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</x:si>
  <x:si>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</x:si>
  <x:si>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</x:si>
  <x:si>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</x:si>
  <x:si>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</x:si>
  <x:si>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</x:si>
  <x:si>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</x:si>
  <x:si>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</x:si>
  <x:si>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</x:si>
  <x:si>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</x:si>
  <x:si>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</x:si>
  <x:si>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</x:si>
  <x:si>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</x:si>
  <x:si>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</x:si>
  <x:si>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</x:si>
  <x:si>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</x:si>
  <x:si>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</x:si>
  <x:si>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</x:si>
  <x:si>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</x:si>
  <x:si>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</x:si>
  <x:si>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</x:si>
  <x:si>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</x:si>
  <x:si>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</x:si>
  <x:si>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</x:si>
  <x:si>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</x:si>
  <x:si>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</x:si>
  <x:si>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</x:si>
  <x:si>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</x:si>
  <x:si>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</x:si>
  <x:si>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</x:si>
  <x:si>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</x:si>
  <x:si>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</x:si>
  <x:si>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</x:si>
  <x:si>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</x:si>
  <x:si>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</x:si>
  <x:si>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</x:si>
  <x:si>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</x:si>
  <x:si>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</x:si>
  <x:si>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</x:si>
  <x:si>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</x:si>
  <x:si>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</x:si>
  <x:si>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</x:si>
  <x:si>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</x:si>
  <x:si>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</x:si>
  <x:si>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</x:si>
  <x:si>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</x:si>
  <x:si>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</x:si>
  <x:si>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</x:si>
  <x:si>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</x:si>
  <x:si>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</x:si>
  <x:si>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</x:si>
  <x:si>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</x:si>
  <x:si>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</x:si>
  <x:si>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</x:si>
  <x:si>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</x:si>
  <x:si>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</x:si>
  <x:si>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</x:si>
  <x:si>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</x:si>
  <x:si>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</x:si>
  <x:si>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</x:si>
  <x:si>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</x:si>
  <x:si>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</x:si>
  <x:si>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</x:si>
  <x:si>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</x:si>
  <x:si>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</x:si>
  <x:si>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</x:si>
  <x:si>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</x:si>
  <x:si>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</x:si>
  <x:si>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</x:si>
  <x:si>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</x:si>
  <x:si>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</x:si>
  <x:si>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</x:si>
  <x:si>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</x:si>
  <x:si>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</x:si>
  <x:si>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</x:si>
  <x:si>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</x:si>
  <x:si>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</x:si>
  <x:si>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</x:si>
  <x:si>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</x:si>
  <x:si>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</x:si>
  <x:si>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</x:si>
  <x:si>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</x:si>
  <x:si>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</x:si>
  <x:si>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</x:si>
  <x:si>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</x:si>
  <x:si>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</x:si>
  <x:si>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</x:si>
  <x:si>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</x:si>
  <x:si>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</x:si>
  <x:si>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</x:si>
  <x:si>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</x:si>
  <x:si>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</x:si>
  <x:si>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</x:si>
  <x:si>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</x:si>
  <x:si>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</x:si>
  <x:si>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</x:si>
  <x:si>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</x:si>
  <x:si>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</x:si>
  <x:si>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</x:si>
  <x:si>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</x:si>
  <x:si>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</x:si>
  <x:si>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</x:si>
  <x:si>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</x:si>
  <x:si>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</x:si>
  <x:si>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</x:si>
  <x:si>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</x:si>
  <x:si>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</x:si>
  <x:si>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</x:si>
  <x:si>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</x:si>
  <x:si>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</x:si>
  <x:si>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</x:si>
  <x:si>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</x:si>
  <x:si>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</x:si>
  <x:si>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</x:si>
  <x:si>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</x:si>
  <x:si>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</x:si>
  <x:si>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</x:si>
  <x:si>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</x:si>
  <x:si>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</x:si>
  <x:si>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</x:si>
  <x:si>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</x:si>
  <x:si>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</x:si>
  <x:si>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</x:si>
  <x:si>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</x:si>
  <x:si>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</x:si>
  <x:si>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</x:si>
  <x:si>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</x:si>
  <x:si>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</x:si>
  <x:si>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</x:si>
  <x:si>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</x:si>
  <x:si>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</x:si>
  <x:si>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</x:si>
  <x:si>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</x:si>
  <x:si>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</x:si>
  <x:si>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</x:si>
  <x:si>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</x:si>
  <x:si>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</x:si>
  <x:si>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</x:si>
  <x:si>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</x:si>
  <x:si>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</x:si>
  <x:si>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</x:si>
  <x:si>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</x:si>
  <x:si>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</x:si>
  <x:si>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</x:si>
  <x:si>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</x:si>
  <x:si>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</x:si>
  <x:si>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</x:si>
  <x:si>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</x:si>
  <x:si>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</x:si>
  <x:si>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</x:si>
  <x:si>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</x:si>
  <x:si>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</x:si>
  <x:si>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</x:si>
  <x:si>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</x:si>
  <x:si>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</x:si>
  <x:si>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</x:si>
  <x:si>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</x:si>
  <x:si>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</x:si>
  <x:si>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</x:si>
  <x:si>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</x:si>
  <x:si>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</x:si>
  <x:si>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</x:si>
  <x:si>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</x:si>
  <x:si>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</x:si>
  <x:si>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</x:si>
  <x:si>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</x:si>
  <x:si>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</x:si>
  <x:si>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</x:si>
  <x:si>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</x:si>
  <x:si>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</x:si>
  <x:si>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</x:si>
  <x:si>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</x:si>
  <x:si>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</x:si>
  <x:si>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</x:si>
  <x:si>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</x:si>
  <x:si>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</x:si>
  <x:si>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</x:si>
  <x:si>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</x:si>
  <x:si>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</x:si>
  <x:si>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</x:si>
  <x:si>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</x:si>
  <x:si>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</x:si>
  <x:si>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</x:si>
  <x:si>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</x:si>
  <x:si>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</x:si>
  <x:si>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</x:si>
  <x:si>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</x:si>
  <x:si>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Merchant offers are maintained as a separate reference portfolio and excluded from Campaign KPIs. Remittance is the priority category and is highlighted in blue.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</x:si>
  <x:si>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</x:si>
  <x:si>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</x:si>
  <x:si>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</x:si>
  <x:si>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</x:si>
  <x:si>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</x:si>
  <x:si>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</x:si>
  <x:si>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</x:si>
  <x:si>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</x:si>
  <x:si>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</x:si>
  <x:si>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</x:si>
  <x:si>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</x:si>
  <x:si>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</x:si>
  <x:si>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</x:si>
  <x:si>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</x:si>
  <x:si>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</x:si>
  <x:si>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</x:si>
  <x:si>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</x:si>
  <x:si>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</x:si>
  <x:si>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</x:si>
  <x:si>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</x:si>
  <x:si>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</x:si>
  <x:si>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</x:si>
  <x:si>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1. Keep each merchant offer as a separate row for operational reference, expiry monitoring, and source links.</x:t>
  </x:si>
  <x:si>
    <x:t xml:space="preserve">2. Exclude Merchant rows from campaign totals, campaign mix, campaign expiry KPIs, and campaign platform analysis.</x:t>
  </x:si>
  <x:si>
    <x:t xml:space="preserve">3. Use “Merchant Offers Portfolio” as the management roll-up label; do not count it as an additional campaign.</x:t>
  </x:si>
  <x:si>
    <x:t xml:space="preserve">4. Count a merchant activation as a campaign only when it has a coordinated objective, defined audience, dedicated timing, communication plan, and measurable campaign KPI.</x:t>
  </x:si>
  <x:si>
    <x:t xml:space="preserve">5. This convention avoids inflating campaign volume merely because one competitor has more commercial partners.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</x:si>
  <x:si>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</x:si>
  <x:si>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</x:si>
  <x:si>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</x:si>
  <x:si>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</x:si>
  <x:si>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</x:si>
  <x:si>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</x:si>
  <x:si>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</x:si>
  <x:si>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</x:si>
  <x:si>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</x:si>
  <x:si>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Add or edit campaign records inside the relevant competitor table.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</x:si>
  <x:si>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</x:si>
  <x:si>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</x:si>
  <x:si>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</x:si>
  <x:si>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</x:si>
  <x:si>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</x:si>
  <x:si>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</x:si>
  <x:si>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Use Merchant for partner discounts; these remain visible but are excluded from Campaign KPIs.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</x:si>
  <x:si>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</x:si>
  <x:si>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</x:si>
  <x:si>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</x:si>
  <x:si>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</x:si>
  <x:si>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</x:si>
  <x:si>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</x:si>
  <x:si>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Use Remittance for all international-transfer campaigns; the workbook highlights these rows automatically.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</x:si>
  <x:si>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</x:si>
  <x:si>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</x:si>
  <x:si>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</x:si>
  <x:si>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</x:si>
  <x:si>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</x:si>
  <x:si>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</x:si>
  <x:si>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Enter at least one accepted direct official campaign page or specific social post. Primary Official Source URL is formula-generated.</x:t>
  </x:si>
  <x:si>
    <x:t xml:space="preserve">5</x:t>
  </x:si>
  <x:si>
    <x:t xml:space="preserve">Leave End Date blank when the official source does not state a complete date.</x:t>
  </x:si>
  <x:si>
    <x:t xml:space="preserve">6</x:t>
  </x:si>
  <x:si>
    <x:t xml:space="preserve">Do not overwrite grey formula columns: Record ID, Days Remaining, Current Status, and Primary Official Source URL.</x:t>
  </x:si>
  <x:si>
    <x:t xml:space="preserve">7</x:t>
  </x:si>
  <x:si>
    <x:t xml:space="preserve">Dashboard Campaign KPIs, category mix, signals, platform matrix, and charts update automatically.</x:t>
  </x:si>
  <x:si>
    <x:t xml:space="preserve">8</x:t>
  </x:si>
  <x:si>
    <x:t xml:space="preserve">Rows with no accepted direct source are highlighted red and excluded.</x:t>
  </x:si>
  <x:si>
    <x:t xml:space="preserve">Published Social Platforms is formula-generated from specific Instagram, X, Facebook, and TikTok post links. Generic profile links are not counted.</x:t>
  </x:si>
</x:sst>
</file>

<file path=xl/styles.xml><?xml version="1.0" encoding="utf-8"?>
<x:styleSheet xmlns:x="http://schemas.openxmlformats.org/spreadsheetml/2006/main">
  <x:numFmts count="2">
    <x:numFmt numFmtId="164" formatCode="mmmm\ d\,\ yyyy"/>
    <x:numFmt numFmtId="165" formatCode="yyyy\-mm\-dd"/>
  </x:numFmts>
  <x:fonts count="21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</x:fonts>
  <x:fills count="27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</x:fills>
  <x:borders count="2">
    <x:border/>
    <x:border/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128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6013b5a6ce34422" /><Relationship Type="http://schemas.openxmlformats.org/officeDocument/2006/relationships/theme" Target="/xl/theme/theme1.xml" Id="R73880b0ca61b47ae" /><Relationship Type="http://schemas.openxmlformats.org/officeDocument/2006/relationships/sharedStrings" Target="/xl/sharedStrings.xml" Id="R6ca774e5f9994d0b" /><Relationship Type="http://schemas.openxmlformats.org/officeDocument/2006/relationships/worksheet" Target="/xl/worksheets/sheet1.xml" Id="R168a2df8c4a547f3" /><Relationship Type="http://schemas.openxmlformats.org/officeDocument/2006/relationships/worksheet" Target="/xl/worksheets/sheet2.xml" Id="Raea0d815ed284158" /><Relationship Type="http://schemas.openxmlformats.org/officeDocument/2006/relationships/worksheet" Target="/xl/worksheets/sheet3.xml" Id="R3956992296624e20" /><Relationship Type="http://schemas.openxmlformats.org/officeDocument/2006/relationships/worksheet" Target="/xl/worksheets/sheet4.xml" Id="Ra364fe89271e48fe" /><Relationship Type="http://schemas.openxmlformats.org/officeDocument/2006/relationships/worksheet" Target="/xl/worksheets/sheet5.xml" Id="R90f32dfcfbf845c2" /><Relationship Type="http://schemas.openxmlformats.org/officeDocument/2006/relationships/worksheet" Target="/xl/worksheets/sheet6.xml" Id="R535a0cb840fa43d6" /><Relationship Type="http://schemas.openxmlformats.org/officeDocument/2006/relationships/worksheet" Target="/xl/worksheets/sheet7.xml" Id="R1396fb174f6d462a" /><Relationship Type="http://schemas.openxmlformats.org/officeDocument/2006/relationships/worksheet" Target="/xl/worksheets/sheet8.xml" Id="R6a9044efb54e437c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a78d29e536584c8f" /><Relationship Type="http://schemas.openxmlformats.org/officeDocument/2006/relationships/chart" Target="/xl/drawings/charts/chart2.xml" Id="Rc31118610c914348" /><Relationship Type="http://schemas.openxmlformats.org/officeDocument/2006/relationships/chart" Target="/xl/drawings/charts/chart3.xml" Id="Rc1774cad45894bf6" /></Relationships>
</file>

<file path=xl/drawings/charts/chart1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Current Campaign Mix (Merchant Excluded)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Market Count</c:v>
          </c:tx>
          <c:cat>
            <c:strRef>
              <c:f>'Executive Dashboard'!$X$19:$X$24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Dashboard'!$Y$19:$Y$24</c:f>
              <c:numCache>
                <c:formatCode>General</c:formatCode>
                <c:ptCount val="6"/>
                <c:pt idx="0">
                  <c:v>9</c:v>
                </c:pt>
                <c:pt idx="1">
                  <c:v>1</c:v>
                </c:pt>
                <c:pt idx="2">
                  <c:v>1</c:v>
                </c:pt>
                <c:pt idx="3">
                  <c:v>10</c:v>
                </c:pt>
                <c:pt idx="4">
                  <c:v>2</c:v>
                </c:pt>
                <c:pt idx="5">
                  <c:v>1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Remittance Campaign Focus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Remittance Campaigns</c:v>
          </c:tx>
          <c:cat>
            <c:strRef>
              <c:f>'Executive Dashboard'!$X$31:$X$36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Dashboard'!$Y$31:$Y$36</c:f>
              <c:numCache>
                <c:formatCode>General</c:formatCode>
                <c:ptCount val="6"/>
                <c:pt idx="0">
                  <c:v>0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0</c:v>
                </c:pt>
                <c:pt idx="5">
                  <c:v>2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mc="http://schemas.openxmlformats.org/markup-compatibility/2006" xmlns:c14="http://schemas.microsoft.com/office/drawing/2007/8/2/chart" xmlns:c="http://schemas.openxmlformats.org/drawingml/2006/chart" mc:Ignorable="c14">
  <c:lang val="en-US"/>
  <c:roundedCorners val="0"/>
  <mc:AlternateContent>
    <mc:Choice Requires="c14">
      <c14:style val="102"/>
    </mc:Choice>
    <mc:Fallback>
      <c:style val="2"/>
    </mc:Fallback>
  </mc:AlternateContent>
  <c:chart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'Executive Dashboard'!$B$9</c:f>
              <c:strCache>
                <c:ptCount val="1"/>
                <c:pt idx="0">
                  <c:v>Current Campaigns</c:v>
                </c:pt>
              </c:strCache>
            </c:strRef>
          </c:tx>
          <c: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</a:ln>
          </c:spPr>
          <c:cat>
            <c:strRef>
              <c:f>'Executive Dashboard'!$A$10:$A$15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Dashboard'!$B$10:$B$15</c:f>
              <c:numCache>
                <c:formatCode>General</c:formatCode>
                <c:ptCount val="6"/>
                <c:pt idx="0">
                  <c:v>4</c:v>
                </c:pt>
                <c:pt idx="1">
                  <c:v>5</c:v>
                </c:pt>
                <c:pt idx="2">
                  <c:v>5</c:v>
                </c:pt>
                <c:pt idx="3">
                  <c:v>4</c:v>
                </c:pt>
                <c:pt idx="4">
                  <c:v>2</c:v>
                </c:pt>
                <c:pt idx="5">
                  <c:v>4</c:v>
                </c:pt>
              </c:numCache>
            </c:numRef>
          </c:val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gapWidth val="79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 cmpd="sng">
              <a:solidFill>
                <a:schemeClr val="tx1">
                  <a:lumMod val="15000"/>
                  <a:lumOff val="85000"/>
                </a:schemeClr>
              </a:solidFill>
            </a:ln>
          </c:spPr>
        </c:majorGridlines>
        <c:numFmt formatCode="General" sourceLinked="1"/>
        <c:majorTickMark val="none"/>
        <c:minorTickMark val="none"/>
        <c:tickLblPos val="nextTo"/>
        <c:spPr>
          <a:ln xmlns:a="http://schemas.openxmlformats.org/drawingml/2006/main" w="9525" cmpd="sng">
            <a:solidFill>
              <a:schemeClr val="tx1">
                <a:lumMod val="15000"/>
                <a:lumOff val="85000"/>
              </a:schemeClr>
            </a:solidFill>
          </a:ln>
        </c:spPr>
        <c:txPr>
          <a:bodyPr xmlns:a="http://schemas.openxmlformats.org/drawingml/2006/main" rot="-60000000" vert="horz" anchor="ctr" anchorCtr="1"/>
          <a:lstStyle xmlns:a="http://schemas.openxmlformats.org/drawingml/2006/main"/>
          <a:p xmlns:a="http://schemas.openxmlformats.org/drawingml/2006/main">
            <a:pPr>
              <a:defRPr sz="800" b="0" i="0" u="none" cap="all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defRPr>
            </a:pPr>
          </a:p>
        </c:txPr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t"/>
      <c:overlay val="0"/>
      <c:spPr>
        <a:noFill xmlns:a="http://schemas.openxmlformats.org/drawingml/2006/main"/>
      </c:spPr>
      <c:txPr>
        <a:bodyPr xmlns:a="http://schemas.openxmlformats.org/drawingml/2006/main" rot="0" vert="horz" anchor="ctr" anchorCtr="1"/>
        <a:lstStyle xmlns:a="http://schemas.openxmlformats.org/drawingml/2006/main"/>
        <a:p xmlns:a="http://schemas.openxmlformats.org/drawingml/2006/main">
          <a:pPr>
            <a:defRPr sz="900" b="0" i="0" u="none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lt"/>
              <a:cs typeface="+mn-lt"/>
            </a:defRPr>
          </a:pPr>
        </a:p>
      </c:txPr>
    </c:legend>
    <c:plotVisOnly val="1"/>
  </c:chart>
  <c:spPr>
    <a:solidFill xmlns:a="http://schemas.openxmlformats.org/drawingml/2006/main">
      <a:schemeClr val="lt1"/>
    </a:solidFill>
    <a:ln xmlns:a="http://schemas.openxmlformats.org/drawingml/2006/main" w="9525" cmpd="sng">
      <a:noFill/>
    </a:ln>
  </c:spPr>
</c:chartSpace>
</file>

<file path=xl/drawings/drawing1.xml><?xml version="1.0" encoding="utf-8"?>
<xdr:wsDr xmlns:xdr="http://schemas.openxmlformats.org/drawingml/2006/spreadsheetDrawing">
  <xdr:twoCellAnchor>
    <xdr:from>
      <xdr:col>7</xdr:col>
      <xdr:colOff>328447</xdr:colOff>
      <xdr:row>18</xdr:row>
      <xdr:rowOff>1</xdr:rowOff>
    </xdr:from>
    <xdr:to>
      <xdr:col>12</xdr:col>
      <xdr:colOff>547414</xdr:colOff>
      <xdr:row>28</xdr:row>
      <xdr:rowOff>142328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78d29e536584c8f"/>
        </a:graphicData>
      </a:graphic>
    </xdr:graphicFrame>
    <xdr:clientData/>
  </xdr:twoCellAnchor>
  <xdr:twoCellAnchor>
    <xdr:from>
      <xdr:col>7</xdr:col>
      <xdr:colOff>317500</xdr:colOff>
      <xdr:row>30</xdr:row>
      <xdr:rowOff>1</xdr:rowOff>
    </xdr:from>
    <xdr:to>
      <xdr:col>12</xdr:col>
      <xdr:colOff>613103</xdr:colOff>
      <xdr:row>40</xdr:row>
      <xdr:rowOff>153276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31118610c914348"/>
        </a:graphicData>
      </a:graphic>
    </xdr:graphicFrame>
    <xdr:clientData/>
  </xdr:twoCellAnchor>
  <xdr:twoCellAnchor>
    <xdr:from>
      <xdr:col>13</xdr:col>
      <xdr:colOff>193782</xdr:colOff>
      <xdr:row>5</xdr:row>
      <xdr:rowOff>10948</xdr:rowOff>
    </xdr:from>
    <xdr:to>
      <xdr:col>22</xdr:col>
      <xdr:colOff>54740</xdr:colOff>
      <xdr:row>16</xdr:row>
      <xdr:rowOff>164224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1774cad45894bf6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8d9b1feeed504ee7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b570c03836c4987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2cef492c71ff4799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f56c8f61049c4388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1aeda7c43f84b58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22b8447572ee4d08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0978fa95d2494467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4"/>
  <x:cols>
    <x:col min="1" max="1" width="18.75" customWidth="1"/>
    <x:col min="2" max="2" width="20.75" customWidth="1"/>
    <x:col min="3" max="3" width="22.5" customWidth="1"/>
    <x:col min="4" max="4" width="16.1640625" customWidth="1"/>
    <x:col min="5" max="5" width="26.9140625" customWidth="1"/>
    <x:col min="6" max="6" width="14.33203125" customWidth="1"/>
    <x:col min="7" max="7" width="26" customWidth="1"/>
    <x:col min="8" max="8" width="12" customWidth="1"/>
    <x:col min="9" max="11" width="15" customWidth="1"/>
    <x:col min="12" max="12" width="14" customWidth="1"/>
    <x:col min="13" max="13" width="16" customWidth="1"/>
    <x:col min="14" max="14" width="24" customWidth="1"/>
    <x:col min="24" max="25" width="2" customWidth="1"/>
  </x:cols>
  <x:sheetData>
    <x:row r="1" ht="24" customHeight="1">
      <x:c r="A1" s="38" t="s">
        <x:v>0</x:v>
      </x:c>
      <x:c r="B1" s="38"/>
      <x:c r="C1" s="38"/>
      <x:c r="D1" s="38"/>
      <x:c r="E1" s="38"/>
      <x:c r="F1" s="38"/>
      <x:c r="G1" s="38"/>
      <x:c r="H1" s="38"/>
      <x:c r="I1" s="38"/>
      <x:c r="J1" s="38"/>
      <x:c r="K1" s="38"/>
      <x:c r="L1" s="38"/>
      <x:c r="M1" s="38"/>
      <x:c r="N1" s="38"/>
    </x:row>
    <x:row r="2">
      <x:c r="A2" s="39" t="s">
        <x:v>1</x:v>
      </x:c>
      <x:c r="B2" s="39"/>
      <x:c r="C2" s="39"/>
      <x:c r="D2" s="39"/>
      <x:c r="E2" s="39"/>
      <x:c r="F2" s="39"/>
      <x:c r="G2" s="39"/>
      <x:c r="H2" s="39"/>
      <x:c r="I2" s="39"/>
      <x:c r="J2" s="39"/>
      <x:c r="K2" s="39"/>
      <x:c r="L2" s="39"/>
      <x:c r="M2" s="39"/>
      <x:c r="N2" s="39"/>
    </x:row>
    <x:row r="3" ht="28" customHeight="1">
      <x:c r="A3" s="10" t="str">
        <x:v>Research Cut-off</x:v>
      </x:c>
      <x:c r="B3" s="11" t="n">
        <x:v>46240</x:v>
      </x:c>
      <x:c r="C3" s="10"/>
      <x:c r="D3" s="10" t="s">
        <x:v>2</x:v>
      </x:c>
      <x:c r="E3" s="11" t="n">
        <x:f>TODAY()</x:f>
        <x:v>46240</x:v>
      </x:c>
      <x:c r="F3" s="10"/>
      <x:c r="G3" s="40" t="s">
        <x:v>3</x:v>
      </x:c>
      <x:c r="H3" s="40"/>
      <x:c r="I3" s="40"/>
      <x:c r="J3" s="40"/>
      <x:c r="K3" s="40"/>
      <x:c r="L3" s="40"/>
      <x:c r="M3" s="40"/>
      <x:c r="N3" s="40"/>
    </x:row>
    <x:row r="5" ht="17.399999618530273" customHeight="1">
      <x:c r="A5" s="12" t="s">
        <x:v>4</x:v>
      </x:c>
      <x:c r="B5" s="12"/>
      <x:c r="C5" s="14" t="s">
        <x:v>5</x:v>
      </x:c>
      <x:c r="D5" s="14"/>
      <x:c r="E5" s="16" t="s">
        <x:v>6</x:v>
      </x:c>
      <x:c r="F5" s="16"/>
      <x:c r="G5" s="12" t="s">
        <x:v>7</x:v>
      </x:c>
      <x:c r="H5" s="12"/>
      <x:c r="I5" s="41" t="s">
        <x:v>8</x:v>
      </x:c>
      <x:c r="J5" s="41"/>
    </x:row>
    <x:row r="6" ht="25.399999618530273" customHeight="1">
      <x:c r="A6" s="13" t="n">
        <x:f>SUM(B10:B15)</x:f>
        <x:v>24</x:v>
      </x:c>
      <x:c r="B6" s="13"/>
      <x:c r="C6" s="15" t="n">
        <x:f>SUM(H10:H15)</x:f>
        <x:v>8</x:v>
      </x:c>
      <x:c r="D6" s="15"/>
      <x:c r="E6" s="17" t="n">
        <x:f>SUM(M10:M15)</x:f>
        <x:v>15</x:v>
      </x:c>
      <x:c r="F6" s="17"/>
      <x:c r="G6" s="13" t="n">
        <x:f>SUM(E10:F15)</x:f>
        <x:v>5</x:v>
      </x:c>
      <x:c r="H6" s="13"/>
      <x:c r="I6" s="42" t="n">
        <x:f>SUM(G10:G15)</x:f>
        <x:v>5</x:v>
      </x:c>
      <x:c r="J6" s="42"/>
    </x:row>
    <x:row r="9" ht="30.649999618530273" customHeight="1">
      <x:c r="A9" s="18" t="s">
        <x:v>9</x:v>
      </x:c>
      <x:c r="B9" s="18" t="s">
        <x:v>4</x:v>
      </x:c>
      <x:c r="C9" s="18" t="s">
        <x:v>10</x:v>
      </x:c>
      <x:c r="D9" s="18" t="s">
        <x:v>11</x:v>
      </x:c>
      <x:c r="E9" s="18" t="s">
        <x:v>12</x:v>
      </x:c>
      <x:c r="F9" s="18" t="s">
        <x:v>13</x:v>
      </x:c>
      <x:c r="G9" s="18" t="s">
        <x:v>14</x:v>
      </x:c>
      <x:c r="H9" s="19" t="s">
        <x:v>15</x:v>
      </x:c>
      <x:c r="I9" s="18" t="s">
        <x:v>16</x:v>
      </x:c>
      <x:c r="J9" s="18" t="s">
        <x:v>17</x:v>
      </x:c>
      <x:c r="K9" s="18" t="s">
        <x:v>18</x:v>
      </x:c>
      <x:c r="L9" s="18" t="s">
        <x:v>19</x:v>
      </x:c>
      <x:c r="M9" s="18" t="s">
        <x:v>6</x:v>
      </x:c>
    </x:row>
    <x:row r="10" ht="28" customHeight="1">
      <x:c r="A10" s="2" t="s">
        <x:v>20</x:v>
      </x:c>
      <x:c r="B10" s="2" t="n">
        <x:f>COUNTIFS('STC Bank'!$C$9:$C$500,"&lt;&gt;",'STC Bank'!$M$9:$M$500,"&lt;&gt;",'STC Bank'!$B$9:$B$500,"&lt;&gt;Merchant",'STC Bank'!$I$9:$I$500,"&lt;&gt;Expired")</x:f>
        <x:v>5</x:v>
      </x:c>
      <x:c r="C10" s="2" t="n">
        <x:f>COUNTIFS('STC Bank'!$C$9:$C$500,"&lt;&gt;",'STC Bank'!$M$9:$M$500,"&lt;&gt;",'STC Bank'!$B$9:$B$500,"&lt;&gt;Merchant",'STC Bank'!$I$9:$I$500,"Active")</x:f>
        <x:v>1</x:v>
      </x:c>
      <x:c r="D10" s="2" t="n">
        <x:f>COUNTIFS('STC Bank'!$C$9:$C$500,"&lt;&gt;",'STC Bank'!$M$9:$M$500,"&lt;&gt;",'STC Bank'!$B$9:$B$500,"&lt;&gt;Merchant",'STC Bank'!$I$9:$I$500,"End Date Not Stated")</x:f>
        <x:v>1</x:v>
      </x:c>
      <x:c r="E10" s="2" t="n">
        <x:f>COUNTIFS('STC Bank'!$C$9:$C$500,"&lt;&gt;",'STC Bank'!$M$9:$M$500,"&lt;&gt;",'STC Bank'!$B$9:$B$500,"&lt;&gt;Merchant",'STC Bank'!$I$9:$I$500,"Expiring ≤7 Days")</x:f>
        <x:v>0</x:v>
      </x:c>
      <x:c r="F10" s="2" t="n">
        <x:f>COUNTIFS('STC Bank'!$C$9:$C$500,"&lt;&gt;",'STC Bank'!$M$9:$M$500,"&lt;&gt;",'STC Bank'!$B$9:$B$500,"&lt;&gt;Merchant",'STC Bank'!$I$9:$I$500,"Expiring 8–30 Days")</x:f>
        <x:v>3</x:v>
      </x:c>
      <x:c r="G10" s="2" t="n">
        <x:f>COUNTIFS('STC Bank'!$C$9:$C$500,"&lt;&gt;",'STC Bank'!$M$9:$M$500,"&lt;&gt;",'STC Bank'!$B$9:$B$500,"&lt;&gt;Merchant",'STC Bank'!$I$9:$I$500,"Expired")</x:f>
        <x:v>1</x:v>
      </x:c>
      <x:c r="H10" s="20" t="n">
        <x:f>COUNTIFS('STC Bank'!$C$9:$C$500,"&lt;&gt;",'STC Bank'!$M$9:$M$500,"&lt;&gt;",'STC Bank'!$B$9:$B$500,"&lt;&gt;Merchant",'STC Bank'!$I$9:$I$500,"&lt;&gt;Expired",'STC Bank'!$B$9:$B$500,"Remittance")</x:f>
        <x:v>0</x:v>
      </x:c>
      <x:c r="I10" s="2" t="n">
        <x:f>COUNTIFS('STC Bank'!$C$9:$C$500,"&lt;&gt;",'STC Bank'!$M$9:$M$500,"&lt;&gt;",'STC Bank'!$B$9:$B$500,"&lt;&gt;Merchant",'STC Bank'!$I$9:$I$500,"&lt;&gt;Expired",'STC Bank'!$B$9:$B$500,"Musaned")</x:f>
        <x:v>0</x:v>
      </x:c>
      <x:c r="J10" s="2" t="n">
        <x:f>COUNTIFS('STC Bank'!$C$9:$C$500,"&lt;&gt;",'STC Bank'!$M$9:$M$500,"&lt;&gt;",'STC Bank'!$B$9:$B$500,"&lt;&gt;Merchant",'STC Bank'!$I$9:$I$500,"&lt;&gt;Expired",'STC Bank'!$B$9:$B$500,"SADAD")</x:f>
        <x:v>0</x:v>
      </x:c>
      <x:c r="K10" s="2" t="n">
        <x:f>COUNTIFS('STC Bank'!$C$9:$C$500,"&lt;&gt;",'STC Bank'!$M$9:$M$500,"&lt;&gt;",'STC Bank'!$B$9:$B$500,"&lt;&gt;Merchant",'STC Bank'!$I$9:$I$500,"&lt;&gt;Expired",'STC Bank'!$B$9:$B$500,"Card")</x:f>
        <x:v>5</x:v>
      </x:c>
      <x:c r="L10" s="2" t="n">
        <x:f>COUNTIFS('STC Bank'!$C$9:$C$500,"&lt;&gt;",'STC Bank'!$M$9:$M$500,"&lt;&gt;",'STC Bank'!$B$9:$B$500,"&lt;&gt;Merchant",'STC Bank'!$I$9:$I$500,"&lt;&gt;Expired",'STC Bank'!$B$9:$B$500,"Engagement")</x:f>
        <x:v>0</x:v>
      </x:c>
      <x:c r="M10" s="2" t="n">
        <x:f>COUNTIFS('STC Bank'!$C$9:$C$500,"&lt;&gt;",'STC Bank'!$M$9:$M$500,"&lt;&gt;",'STC Bank'!$B$9:$B$500,"Merchant",'STC Bank'!$I$9:$I$500,"&lt;&gt;Expired")</x:f>
        <x:v>8</x:v>
      </x:c>
    </x:row>
    <x:row r="11" ht="28" customHeight="1">
      <x:c r="A11" s="2" t="s">
        <x:v>21</x:v>
      </x:c>
      <x:c r="B11" s="2" t="n">
        <x:f>COUNTIFS(barq!$C$9:$C$499,"&lt;&gt;",barq!$M$9:$M$499,"&lt;&gt;",barq!$B$9:$B$499,"&lt;&gt;Merchant",barq!$I$9:$I$499,"&lt;&gt;Expired")</x:f>
        <x:v>5</x:v>
      </x:c>
      <x:c r="C11" s="2" t="n">
        <x:f>COUNTIFS(barq!$C$9:$C$499,"&lt;&gt;",barq!$M$9:$M$499,"&lt;&gt;",barq!$B$9:$B$499,"&lt;&gt;Merchant",barq!$I$9:$I$499,"Active")</x:f>
        <x:v>0</x:v>
      </x:c>
      <x:c r="D11" s="2" t="n">
        <x:f>COUNTIFS(barq!$C$9:$C$499,"&lt;&gt;",barq!$M$9:$M$499,"&lt;&gt;",barq!$B$9:$B$499,"&lt;&gt;Merchant",barq!$I$9:$I$499,"End Date Not Stated")</x:f>
        <x:v>5</x:v>
      </x:c>
      <x:c r="E11" s="2" t="n">
        <x:f>COUNTIFS(barq!$C$9:$C$499,"&lt;&gt;",barq!$M$9:$M$499,"&lt;&gt;",barq!$B$9:$B$499,"&lt;&gt;Merchant",barq!$I$9:$I$499,"Expiring ≤7 Days")</x:f>
        <x:v>0</x:v>
      </x:c>
      <x:c r="F11" s="2" t="n">
        <x:f>COUNTIFS(barq!$C$9:$C$499,"&lt;&gt;",barq!$M$9:$M$499,"&lt;&gt;",barq!$B$9:$B$499,"&lt;&gt;Merchant",barq!$I$9:$I$499,"Expiring 8–30 Days")</x:f>
        <x:v>0</x:v>
      </x:c>
      <x:c r="G11" s="2" t="n">
        <x:f>COUNTIFS(barq!$C$9:$C$499,"&lt;&gt;",barq!$M$9:$M$499,"&lt;&gt;",barq!$B$9:$B$499,"&lt;&gt;Merchant",barq!$I$9:$I$499,"Expired")</x:f>
        <x:v>0</x:v>
      </x:c>
      <x:c r="H11" s="20" t="n">
        <x:f>COUNTIFS(barq!$C$9:$C$499,"&lt;&gt;",barq!$M$9:$M$499,"&lt;&gt;",barq!$B$9:$B$499,"&lt;&gt;Merchant",barq!$I$9:$I$499,"&lt;&gt;Expired",barq!$B$9:$B$499,"Remittance")</x:f>
        <x:v>2</x:v>
      </x:c>
      <x:c r="I11" s="2" t="n">
        <x:f>COUNTIFS(barq!$C$9:$C$499,"&lt;&gt;",barq!$M$9:$M$499,"&lt;&gt;",barq!$B$9:$B$499,"&lt;&gt;Merchant",barq!$I$9:$I$499,"&lt;&gt;Expired",barq!$B$9:$B$499,"Musaned")</x:f>
        <x:v>0</x:v>
      </x:c>
      <x:c r="J11" s="2" t="n">
        <x:f>COUNTIFS(barq!$C$9:$C$499,"&lt;&gt;",barq!$M$9:$M$499,"&lt;&gt;",barq!$B$9:$B$499,"&lt;&gt;Merchant",barq!$I$9:$I$499,"&lt;&gt;Expired",barq!$B$9:$B$499,"SADAD")</x:f>
        <x:v>0</x:v>
      </x:c>
      <x:c r="K11" s="2" t="n">
        <x:f>COUNTIFS(barq!$C$9:$C$499,"&lt;&gt;",barq!$M$9:$M$499,"&lt;&gt;",barq!$B$9:$B$499,"&lt;&gt;Merchant",barq!$I$9:$I$499,"&lt;&gt;Expired",barq!$B$9:$B$499,"Card")</x:f>
        <x:v>1</x:v>
      </x:c>
      <x:c r="L11" s="2" t="n">
        <x:f>COUNTIFS(barq!$C$9:$C$499,"&lt;&gt;",barq!$M$9:$M$499,"&lt;&gt;",barq!$B$9:$B$499,"&lt;&gt;Merchant",barq!$I$9:$I$499,"&lt;&gt;Expired",barq!$B$9:$B$499,"Engagement")</x:f>
        <x:v>2</x:v>
      </x:c>
      <x:c r="M11" s="2" t="n">
        <x:f>COUNTIFS(barq!$C$9:$C$499,"&lt;&gt;",barq!$M$9:$M$499,"&lt;&gt;",barq!$B$9:$B$499,"Merchant",barq!$I$9:$I$499,"&lt;&gt;Expired")</x:f>
        <x:v>1</x:v>
      </x:c>
    </x:row>
    <x:row r="12" ht="28" customHeight="1">
      <x:c r="A12" s="2" t="s">
        <x:v>22</x:v>
      </x:c>
      <x:c r="B12" s="2" t="n">
        <x:f>COUNTIFS('Mobily Pay'!$C$9:$C$500,"&lt;&gt;",'Mobily Pay'!$M$9:$M$500,"&lt;&gt;",'Mobily Pay'!$B$9:$B$500,"&lt;&gt;Merchant",'Mobily Pay'!$I$9:$I$500,"&lt;&gt;Expired")</x:f>
        <x:v>3</x:v>
      </x:c>
      <x:c r="C12" s="2" t="n">
        <x:f>COUNTIFS('Mobily Pay'!$C$9:$C$500,"&lt;&gt;",'Mobily Pay'!$M$9:$M$500,"&lt;&gt;",'Mobily Pay'!$B$9:$B$500,"&lt;&gt;Merchant",'Mobily Pay'!$I$9:$I$500,"Active")</x:f>
        <x:v>1</x:v>
      </x:c>
      <x:c r="D12" s="2" t="n">
        <x:f>COUNTIFS('Mobily Pay'!$C$9:$C$500,"&lt;&gt;",'Mobily Pay'!$M$9:$M$500,"&lt;&gt;",'Mobily Pay'!$B$9:$B$500,"&lt;&gt;Merchant",'Mobily Pay'!$I$9:$I$500,"End Date Not Stated")</x:f>
        <x:v>1</x:v>
      </x:c>
      <x:c r="E12" s="2" t="n">
        <x:f>COUNTIFS('Mobily Pay'!$C$9:$C$500,"&lt;&gt;",'Mobily Pay'!$M$9:$M$500,"&lt;&gt;",'Mobily Pay'!$B$9:$B$500,"&lt;&gt;Merchant",'Mobily Pay'!$I$9:$I$500,"Expiring ≤7 Days")</x:f>
        <x:v>0</x:v>
      </x:c>
      <x:c r="F12" s="2" t="n">
        <x:f>COUNTIFS('Mobily Pay'!$C$9:$C$500,"&lt;&gt;",'Mobily Pay'!$M$9:$M$500,"&lt;&gt;",'Mobily Pay'!$B$9:$B$500,"&lt;&gt;Merchant",'Mobily Pay'!$I$9:$I$500,"Expiring 8–30 Days")</x:f>
        <x:v>1</x:v>
      </x:c>
      <x:c r="G12" s="2" t="n">
        <x:f>COUNTIFS('Mobily Pay'!$C$9:$C$500,"&lt;&gt;",'Mobily Pay'!$M$9:$M$500,"&lt;&gt;",'Mobily Pay'!$B$9:$B$500,"&lt;&gt;Merchant",'Mobily Pay'!$I$9:$I$500,"Expired")</x:f>
        <x:v>2</x:v>
      </x:c>
      <x:c r="H12" s="20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I12" s="2" t="n">
        <x:f>COUNTIFS('Mobily Pay'!$C$9:$C$500,"&lt;&gt;",'Mobily Pay'!$M$9:$M$500,"&lt;&gt;",'Mobily Pay'!$B$9:$B$500,"&lt;&gt;Merchant",'Mobily Pay'!$I$9:$I$500,"&lt;&gt;Expired",'Mobily Pay'!$B$9:$B$500,"Musaned")</x:f>
        <x:v>0</x:v>
      </x:c>
      <x:c r="J12" s="2" t="n">
        <x:f>COUNTIFS('Mobily Pay'!$C$9:$C$500,"&lt;&gt;",'Mobily Pay'!$M$9:$M$500,"&lt;&gt;",'Mobily Pay'!$B$9:$B$500,"&lt;&gt;Merchant",'Mobily Pay'!$I$9:$I$500,"&lt;&gt;Expired",'Mobily Pay'!$B$9:$B$500,"SADAD")</x:f>
        <x:v>0</x:v>
      </x:c>
      <x:c r="K12" s="2" t="n">
        <x:f>COUNTIFS('Mobily Pay'!$C$9:$C$500,"&lt;&gt;",'Mobily Pay'!$M$9:$M$500,"&lt;&gt;",'Mobily Pay'!$B$9:$B$500,"&lt;&gt;Merchant",'Mobily Pay'!$I$9:$I$500,"&lt;&gt;Expired",'Mobily Pay'!$B$9:$B$500,"Card")</x:f>
        <x:v>1</x:v>
      </x:c>
      <x:c r="L12" s="2" t="n">
        <x:f>COUNTIFS('Mobily Pay'!$C$9:$C$500,"&lt;&gt;",'Mobily Pay'!$M$9:$M$500,"&lt;&gt;",'Mobily Pay'!$B$9:$B$500,"&lt;&gt;Merchant",'Mobily Pay'!$I$9:$I$500,"&lt;&gt;Expired",'Mobily Pay'!$B$9:$B$500,"Engagement")</x:f>
        <x:v>0</x:v>
      </x:c>
      <x:c r="M12" s="2" t="n">
        <x:f>COUNTIFS('Mobily Pay'!$C$9:$C$500,"&lt;&gt;",'Mobily Pay'!$M$9:$M$500,"&lt;&gt;",'Mobily Pay'!$B$9:$B$500,"Merchant",'Mobily Pay'!$I$9:$I$500,"&lt;&gt;Expired")</x:f>
        <x:v>1</x:v>
      </x:c>
    </x:row>
    <x:row r="13" ht="28" customHeight="1">
      <x:c r="A13" s="2" t="s">
        <x:v>23</x:v>
      </x:c>
      <x:c r="B13" s="2" t="n">
        <x:f>COUNTIFS(tiqmo!$C$9:$C$500,"&lt;&gt;",tiqmo!$M$9:$M$500,"&lt;&gt;",tiqmo!$B$9:$B$500,"&lt;&gt;Merchant",tiqmo!$I$9:$I$500,"&lt;&gt;Expired")</x:f>
        <x:v>3</x:v>
      </x:c>
      <x:c r="C13" s="2" t="n">
        <x:f>COUNTIFS(tiqmo!$C$9:$C$500,"&lt;&gt;",tiqmo!$M$9:$M$500,"&lt;&gt;",tiqmo!$B$9:$B$500,"&lt;&gt;Merchant",tiqmo!$I$9:$I$500,"Active")</x:f>
        <x:v>1</x:v>
      </x:c>
      <x:c r="D13" s="2" t="n">
        <x:f>COUNTIFS(tiqmo!$C$9:$C$500,"&lt;&gt;",tiqmo!$M$9:$M$500,"&lt;&gt;",tiqmo!$B$9:$B$500,"&lt;&gt;Merchant",tiqmo!$I$9:$I$500,"End Date Not Stated")</x:f>
        <x:v>2</x:v>
      </x:c>
      <x:c r="E13" s="2" t="n">
        <x:f>COUNTIFS(tiqmo!$C$9:$C$500,"&lt;&gt;",tiqmo!$M$9:$M$500,"&lt;&gt;",tiqmo!$B$9:$B$500,"&lt;&gt;Merchant",tiqmo!$I$9:$I$500,"Expiring ≤7 Days")</x:f>
        <x:v>0</x:v>
      </x:c>
      <x:c r="F13" s="2" t="n">
        <x:f>COUNTIFS(tiqmo!$C$9:$C$500,"&lt;&gt;",tiqmo!$M$9:$M$500,"&lt;&gt;",tiqmo!$B$9:$B$500,"&lt;&gt;Merchant",tiqmo!$I$9:$I$500,"Expiring 8–30 Days")</x:f>
        <x:v>0</x:v>
      </x:c>
      <x:c r="G13" s="2" t="n">
        <x:f>COUNTIFS(tiqmo!$C$9:$C$500,"&lt;&gt;",tiqmo!$M$9:$M$500,"&lt;&gt;",tiqmo!$B$9:$B$500,"&lt;&gt;Merchant",tiqmo!$I$9:$I$500,"Expired")</x:f>
        <x:v>2</x:v>
      </x:c>
      <x:c r="H13" s="20" t="n">
        <x:f>COUNTIFS(tiqmo!$C$9:$C$500,"&lt;&gt;",tiqmo!$M$9:$M$500,"&lt;&gt;",tiqmo!$B$9:$B$500,"&lt;&gt;Merchant",tiqmo!$I$9:$I$500,"&lt;&gt;Expired",tiqmo!$B$9:$B$500,"Remittance")</x:f>
        <x:v>1</x:v>
      </x:c>
      <x:c r="I13" s="2" t="n">
        <x:f>COUNTIFS(tiqmo!$C$9:$C$500,"&lt;&gt;",tiqmo!$M$9:$M$500,"&lt;&gt;",tiqmo!$B$9:$B$500,"&lt;&gt;Merchant",tiqmo!$I$9:$I$500,"&lt;&gt;Expired",tiqmo!$B$9:$B$500,"Musaned")</x:f>
        <x:v>0</x:v>
      </x:c>
      <x:c r="J13" s="2" t="n">
        <x:f>COUNTIFS(tiqmo!$C$9:$C$500,"&lt;&gt;",tiqmo!$M$9:$M$500,"&lt;&gt;",tiqmo!$B$9:$B$500,"&lt;&gt;Merchant",tiqmo!$I$9:$I$500,"&lt;&gt;Expired",tiqmo!$B$9:$B$500,"SADAD")</x:f>
        <x:v>1</x:v>
      </x:c>
      <x:c r="K13" s="2" t="n">
        <x:f>COUNTIFS(tiqmo!$C$9:$C$500,"&lt;&gt;",tiqmo!$M$9:$M$500,"&lt;&gt;",tiqmo!$B$9:$B$500,"&lt;&gt;Merchant",tiqmo!$I$9:$I$500,"&lt;&gt;Expired",tiqmo!$B$9:$B$500,"Card")</x:f>
        <x:v>1</x:v>
      </x:c>
      <x:c r="L13" s="2" t="n">
        <x:f>COUNTIFS(tiqmo!$C$9:$C$500,"&lt;&gt;",tiqmo!$M$9:$M$500,"&lt;&gt;",tiqmo!$B$9:$B$500,"&lt;&gt;Merchant",tiqmo!$I$9:$I$500,"&lt;&gt;Expired",tiqmo!$B$9:$B$500,"Engagement")</x:f>
        <x:v>0</x:v>
      </x:c>
      <x:c r="M13" s="2" t="n">
        <x:f>COUNTIFS(tiqmo!$C$9:$C$500,"&lt;&gt;",tiqmo!$M$9:$M$500,"&lt;&gt;",tiqmo!$B$9:$B$500,"Merchant",tiqmo!$I$9:$I$500,"&lt;&gt;Expired")</x:f>
        <x:v>0</x:v>
      </x:c>
    </x:row>
    <x:row r="14" ht="28" customHeight="1">
      <x:c r="A14" s="2" t="s">
        <x:v>24</x:v>
      </x:c>
      <x:c r="B14" s="2" t="n">
        <x:f>COUNTIFS(urpay!$C$9:$C$500,"&lt;&gt;",urpay!$M$9:$M$500,"&lt;&gt;",urpay!$B$9:$B$500,"&lt;&gt;Merchant",urpay!$I$9:$I$500,"&lt;&gt;Expired")</x:f>
        <x:v>3</x:v>
      </x:c>
      <x:c r="C14" s="2" t="n">
        <x:f>COUNTIFS(urpay!$C$9:$C$500,"&lt;&gt;",urpay!$M$9:$M$500,"&lt;&gt;",urpay!$B$9:$B$500,"&lt;&gt;Merchant",urpay!$I$9:$I$500,"Active")</x:f>
        <x:v>0</x:v>
      </x:c>
      <x:c r="D14" s="2" t="n">
        <x:f>COUNTIFS(urpay!$C$9:$C$500,"&lt;&gt;",urpay!$M$9:$M$500,"&lt;&gt;",urpay!$B$9:$B$500,"&lt;&gt;Merchant",urpay!$I$9:$I$500,"End Date Not Stated")</x:f>
        <x:v>3</x:v>
      </x:c>
      <x:c r="E14" s="2" t="n">
        <x:f>COUNTIFS(urpay!$C$9:$C$500,"&lt;&gt;",urpay!$M$9:$M$500,"&lt;&gt;",urpay!$B$9:$B$500,"&lt;&gt;Merchant",urpay!$I$9:$I$500,"Expiring ≤7 Days")</x:f>
        <x:v>0</x:v>
      </x:c>
      <x:c r="F14" s="2" t="n">
        <x:f>COUNTIFS(urpay!$C$9:$C$500,"&lt;&gt;",urpay!$M$9:$M$500,"&lt;&gt;",urpay!$B$9:$B$500,"&lt;&gt;Merchant",urpay!$I$9:$I$500,"Expiring 8–30 Days")</x:f>
        <x:v>0</x:v>
      </x:c>
      <x:c r="G14" s="2" t="n">
        <x:f>COUNTIFS(urpay!$C$9:$C$500,"&lt;&gt;",urpay!$M$9:$M$500,"&lt;&gt;",urpay!$B$9:$B$500,"&lt;&gt;Merchant",urpay!$I$9:$I$500,"Expired")</x:f>
        <x:v>0</x:v>
      </x:c>
      <x:c r="H14" s="20" t="n">
        <x:f>COUNTIFS(urpay!$C$9:$C$500,"&lt;&gt;",urpay!$M$9:$M$500,"&lt;&gt;",urpay!$B$9:$B$500,"&lt;&gt;Merchant",urpay!$I$9:$I$500,"&lt;&gt;Expired",urpay!$B$9:$B$500,"Remittance")</x:f>
        <x:v>1</x:v>
      </x:c>
      <x:c r="I14" s="2" t="n">
        <x:f>COUNTIFS(urpay!$C$9:$C$500,"&lt;&gt;",urpay!$M$9:$M$500,"&lt;&gt;",urpay!$B$9:$B$500,"&lt;&gt;Merchant",urpay!$I$9:$I$500,"&lt;&gt;Expired",urpay!$B$9:$B$500,"Musaned")</x:f>
        <x:v>1</x:v>
      </x:c>
      <x:c r="J14" s="2" t="n">
        <x:f>COUNTIFS(urpay!$C$9:$C$500,"&lt;&gt;",urpay!$M$9:$M$500,"&lt;&gt;",urpay!$B$9:$B$500,"&lt;&gt;Merchant",urpay!$I$9:$I$500,"&lt;&gt;Expired",urpay!$B$9:$B$500,"SADAD")</x:f>
        <x:v>0</x:v>
      </x:c>
      <x:c r="K14" s="2" t="n">
        <x:f>COUNTIFS(urpay!$C$9:$C$500,"&lt;&gt;",urpay!$M$9:$M$500,"&lt;&gt;",urpay!$B$9:$B$500,"&lt;&gt;Merchant",urpay!$I$9:$I$500,"&lt;&gt;Expired",urpay!$B$9:$B$500,"Card")</x:f>
        <x:v>1</x:v>
      </x:c>
      <x:c r="L14" s="2" t="n">
        <x:f>COUNTIFS(urpay!$C$9:$C$500,"&lt;&gt;",urpay!$M$9:$M$500,"&lt;&gt;",urpay!$B$9:$B$500,"&lt;&gt;Merchant",urpay!$I$9:$I$500,"&lt;&gt;Expired",urpay!$B$9:$B$500,"Engagement")</x:f>
        <x:v>0</x:v>
      </x:c>
      <x:c r="M14" s="2" t="n">
        <x:f>COUNTIFS(urpay!$C$9:$C$500,"&lt;&gt;",urpay!$M$9:$M$500,"&lt;&gt;",urpay!$B$9:$B$500,"Merchant",urpay!$I$9:$I$500,"&lt;&gt;Expired")</x:f>
        <x:v>5</x:v>
      </x:c>
    </x:row>
    <x:row r="15" ht="28" customHeight="1">
      <x:c r="A15" s="2" t="s">
        <x:v>25</x:v>
      </x:c>
      <x:c r="B15" s="2" t="n">
        <x:f>COUNTIFS('alinma pay'!$C$9:$C$500,"&lt;&gt;",'alinma pay'!$M$9:$M$500,"&lt;&gt;",'alinma pay'!$B$9:$B$500,"&lt;&gt;Merchant",'alinma pay'!$I$9:$I$500,"&lt;&gt;Expired")</x:f>
        <x:v>5</x:v>
      </x:c>
      <x:c r="C15" s="2" t="n">
        <x:f>COUNTIFS('alinma pay'!$C$9:$C$500,"&lt;&gt;",'alinma pay'!$M$9:$M$500,"&lt;&gt;",'alinma pay'!$B$9:$B$500,"&lt;&gt;Merchant",'alinma pay'!$I$9:$I$500,"Active")</x:f>
        <x:v>0</x:v>
      </x:c>
      <x:c r="D15" s="2" t="n">
        <x:f>COUNTIFS('alinma pay'!$C$9:$C$500,"&lt;&gt;",'alinma pay'!$M$9:$M$500,"&lt;&gt;",'alinma pay'!$B$9:$B$500,"&lt;&gt;Merchant",'alinma pay'!$I$9:$I$500,"End Date Not Stated")</x:f>
        <x:v>4</x:v>
      </x:c>
      <x:c r="E15" s="2" t="n">
        <x:f>COUNTIFS('alinma pay'!$C$9:$C$500,"&lt;&gt;",'alinma pay'!$M$9:$M$500,"&lt;&gt;",'alinma pay'!$B$9:$B$500,"&lt;&gt;Merchant",'alinma pay'!$I$9:$I$500,"Expiring ≤7 Days")</x:f>
        <x:v>1</x:v>
      </x:c>
      <x:c r="F15" s="2" t="n">
        <x:f>COUNTIFS('alinma pay'!$C$9:$C$500,"&lt;&gt;",'alinma pay'!$M$9:$M$500,"&lt;&gt;",'alinma pay'!$B$9:$B$500,"&lt;&gt;Merchant",'alinma pay'!$I$9:$I$500,"Expiring 8–30 Days")</x:f>
        <x:v>0</x:v>
      </x:c>
      <x:c r="G15" s="2" t="n">
        <x:f>COUNTIFS('alinma pay'!$C$9:$C$500,"&lt;&gt;",'alinma pay'!$M$9:$M$500,"&lt;&gt;",'alinma pay'!$B$9:$B$500,"&lt;&gt;Merchant",'alinma pay'!$I$9:$I$500,"Expired")</x:f>
        <x:v>0</x:v>
      </x:c>
      <x:c r="H15" s="20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I15" s="2" t="n">
        <x:f>COUNTIFS('alinma pay'!$C$9:$C$500,"&lt;&gt;",'alinma pay'!$M$9:$M$500,"&lt;&gt;",'alinma pay'!$B$9:$B$500,"&lt;&gt;Merchant",'alinma pay'!$I$9:$I$500,"&lt;&gt;Expired",'alinma pay'!$B$9:$B$500,"Musaned")</x:f>
        <x:v>1</x:v>
      </x:c>
      <x:c r="J15" s="2" t="n">
        <x:f>COUNTIFS('alinma pay'!$C$9:$C$500,"&lt;&gt;",'alinma pay'!$M$9:$M$500,"&lt;&gt;",'alinma pay'!$B$9:$B$500,"&lt;&gt;Merchant",'alinma pay'!$I$9:$I$500,"&lt;&gt;Expired",'alinma pay'!$B$9:$B$500,"SADAD")</x:f>
        <x:v>0</x:v>
      </x:c>
      <x:c r="K15" s="2" t="n">
        <x:f>COUNTIFS('alinma pay'!$C$9:$C$500,"&lt;&gt;",'alinma pay'!$M$9:$M$500,"&lt;&gt;",'alinma pay'!$B$9:$B$500,"&lt;&gt;Merchant",'alinma pay'!$I$9:$I$500,"&lt;&gt;Expired",'alinma pay'!$B$9:$B$500,"Card")</x:f>
        <x:v>2</x:v>
      </x:c>
      <x:c r="L15" s="2" t="n">
        <x:f>COUNTIFS('alinma pay'!$C$9:$C$500,"&lt;&gt;",'alinma pay'!$M$9:$M$500,"&lt;&gt;",'alinma pay'!$B$9:$B$500,"&lt;&gt;Merchant",'alinma pay'!$I$9:$I$500,"&lt;&gt;Expired",'alinma pay'!$B$9:$B$500,"Engagement")</x:f>
        <x:v>0</x:v>
      </x:c>
      <x:c r="M15" s="2" t="n">
        <x:f>COUNTIFS('alinma pay'!$C$9:$C$500,"&lt;&gt;",'alinma pay'!$M$9:$M$500,"&lt;&gt;",'alinma pay'!$B$9:$B$500,"Merchant",'alinma pay'!$I$9:$I$500,"&lt;&gt;Expired")</x:f>
        <x:v>0</x:v>
      </x:c>
    </x:row>
    <x:row r="18" ht="16.5">
      <x:c r="A18" s="45" t="s">
        <x:v>26</x:v>
      </x:c>
      <x:c r="B18" s="45"/>
      <x:c r="C18" s="45"/>
      <x:c r="D18" s="45"/>
      <x:c r="E18" s="45"/>
      <x:c r="F18" s="45"/>
      <x:c r="G18" s="45"/>
      <x:c r="H18" s="45"/>
      <x:c r="I18" s="45"/>
      <x:c r="J18" s="45"/>
      <x:c r="K18" s="45"/>
      <x:c r="L18" s="45"/>
      <x:c r="M18" s="45"/>
      <x:c r="N18" s="45"/>
      <x:c r="X18" s="30" t="s">
        <x:v>27</x:v>
      </x:c>
      <x:c r="Y18" s="30" t="s">
        <x:v>28</x:v>
      </x:c>
    </x:row>
    <x:row r="19">
      <x:c r="X19" s="30" t="s">
        <x:v>15</x:v>
      </x:c>
      <x:c r="Y19" s="30" t="n">
        <x:f>B27</x:f>
        <x:v>8</x:v>
      </x:c>
    </x:row>
    <x:row r="20" ht="26.649999618530273" customHeight="1">
      <x:c r="A20" s="22" t="s">
        <x:v>9</x:v>
      </x:c>
      <x:c r="B20" s="19" t="s">
        <x:v>15</x:v>
      </x:c>
      <x:c r="C20" s="22" t="s">
        <x:v>16</x:v>
      </x:c>
      <x:c r="D20" s="22" t="s">
        <x:v>17</x:v>
      </x:c>
      <x:c r="E20" s="22" t="s">
        <x:v>18</x:v>
      </x:c>
      <x:c r="F20" s="22" t="s">
        <x:v>19</x:v>
      </x:c>
      <x:c r="G20" s="22" t="s">
        <x:v>29</x:v>
      </x:c>
      <x:c r="X20" s="30" t="s">
        <x:v>16</x:v>
      </x:c>
      <x:c r="Y20" s="30" t="n">
        <x:f>C27</x:f>
        <x:v>1</x:v>
      </x:c>
    </x:row>
    <x:row r="21">
      <x:c r="A21" s="25" t="s">
        <x:v>20</x:v>
      </x:c>
      <x:c r="B21" s="24" t="n">
        <x:f>COUNTIFS('STC Bank'!$C$9:$C$500,"&lt;&gt;",'STC Bank'!$M$9:$M$500,"&lt;&gt;",'STC Bank'!$B$9:$B$500,"&lt;&gt;Merchant",'STC Bank'!$I$9:$I$500,"&lt;&gt;Expired",'STC Bank'!$B$9:$B$500,"Remittance")</x:f>
        <x:v>0</x:v>
      </x:c>
      <x:c r="C21" s="25" t="n">
        <x:f>COUNTIFS('STC Bank'!$C$9:$C$500,"&lt;&gt;",'STC Bank'!$M$9:$M$500,"&lt;&gt;",'STC Bank'!$B$9:$B$500,"&lt;&gt;Merchant",'STC Bank'!$I$9:$I$500,"&lt;&gt;Expired",'STC Bank'!$B$9:$B$500,"Musaned")</x:f>
        <x:v>0</x:v>
      </x:c>
      <x:c r="D21" s="25" t="n">
        <x:f>COUNTIFS('STC Bank'!$C$9:$C$500,"&lt;&gt;",'STC Bank'!$M$9:$M$500,"&lt;&gt;",'STC Bank'!$B$9:$B$500,"&lt;&gt;Merchant",'STC Bank'!$I$9:$I$500,"&lt;&gt;Expired",'STC Bank'!$B$9:$B$500,"SADAD")</x:f>
        <x:v>0</x:v>
      </x:c>
      <x:c r="E21" s="25" t="n">
        <x:f>COUNTIFS('STC Bank'!$C$9:$C$500,"&lt;&gt;",'STC Bank'!$M$9:$M$500,"&lt;&gt;",'STC Bank'!$B$9:$B$500,"&lt;&gt;Merchant",'STC Bank'!$I$9:$I$500,"&lt;&gt;Expired",'STC Bank'!$B$9:$B$500,"Card")</x:f>
        <x:v>5</x:v>
      </x:c>
      <x:c r="F21" s="25" t="n">
        <x:f>COUNTIFS('STC Bank'!$C$9:$C$500,"&lt;&gt;",'STC Bank'!$M$9:$M$500,"&lt;&gt;",'STC Bank'!$B$9:$B$500,"&lt;&gt;Merchant",'STC Bank'!$I$9:$I$500,"&lt;&gt;Expired",'STC Bank'!$B$9:$B$500,"Engagement")</x:f>
        <x:v>0</x:v>
      </x:c>
      <x:c r="G21" s="25" t="n">
        <x:f>COUNTIFS('STC Bank'!$C$9:$C$500,"&lt;&gt;",'STC Bank'!$M$9:$M$500,"&lt;&gt;",'STC Bank'!$B$9:$B$500,"&lt;&gt;Merchant",'STC Bank'!$I$9:$I$500,"&lt;&gt;Expired",'STC Bank'!$B$9:$B$500,"Other")</x:f>
        <x:v>0</x:v>
      </x:c>
      <x:c r="X21" s="30" t="s">
        <x:v>17</x:v>
      </x:c>
      <x:c r="Y21" s="30" t="n">
        <x:f>D27</x:f>
        <x:v>1</x:v>
      </x:c>
    </x:row>
    <x:row r="22">
      <x:c r="A22" s="25" t="s">
        <x:v>21</x:v>
      </x:c>
      <x:c r="B22" s="24" t="n">
        <x:f>COUNTIFS(barq!$C$9:$C$499,"&lt;&gt;",barq!$M$9:$M$499,"&lt;&gt;",barq!$B$9:$B$499,"&lt;&gt;Merchant",barq!$I$9:$I$499,"&lt;&gt;Expired",barq!$B$9:$B$499,"Remittance")</x:f>
        <x:v>2</x:v>
      </x:c>
      <x:c r="C22" s="25" t="n">
        <x:f>COUNTIFS(barq!$C$9:$C$499,"&lt;&gt;",barq!$M$9:$M$499,"&lt;&gt;",barq!$B$9:$B$499,"&lt;&gt;Merchant",barq!$I$9:$I$499,"&lt;&gt;Expired",barq!$B$9:$B$499,"Musaned")</x:f>
        <x:v>0</x:v>
      </x:c>
      <x:c r="D22" s="25" t="n">
        <x:f>COUNTIFS(barq!$C$9:$C$499,"&lt;&gt;",barq!$M$9:$M$499,"&lt;&gt;",barq!$B$9:$B$499,"&lt;&gt;Merchant",barq!$I$9:$I$499,"&lt;&gt;Expired",barq!$B$9:$B$499,"SADAD")</x:f>
        <x:v>0</x:v>
      </x:c>
      <x:c r="E22" s="25" t="n">
        <x:f>COUNTIFS(barq!$C$9:$C$499,"&lt;&gt;",barq!$M$9:$M$499,"&lt;&gt;",barq!$B$9:$B$499,"&lt;&gt;Merchant",barq!$I$9:$I$499,"&lt;&gt;Expired",barq!$B$9:$B$499,"Card")</x:f>
        <x:v>1</x:v>
      </x:c>
      <x:c r="F22" s="25" t="n">
        <x:f>COUNTIFS(barq!$C$9:$C$499,"&lt;&gt;",barq!$M$9:$M$499,"&lt;&gt;",barq!$B$9:$B$499,"&lt;&gt;Merchant",barq!$I$9:$I$499,"&lt;&gt;Expired",barq!$B$9:$B$499,"Engagement")</x:f>
        <x:v>2</x:v>
      </x:c>
      <x:c r="G22" s="25" t="n">
        <x:f>COUNTIFS(barq!$C$9:$C$499,"&lt;&gt;",barq!$M$9:$M$499,"&lt;&gt;",barq!$B$9:$B$499,"&lt;&gt;Merchant",barq!$I$9:$I$499,"&lt;&gt;Expired",barq!$B$9:$B$499,"Other")</x:f>
        <x:v>0</x:v>
      </x:c>
      <x:c r="X22" s="30" t="s">
        <x:v>18</x:v>
      </x:c>
      <x:c r="Y22" s="30" t="n">
        <x:f>E27</x:f>
        <x:v>10</x:v>
      </x:c>
    </x:row>
    <x:row r="23">
      <x:c r="A23" s="25" t="s">
        <x:v>22</x:v>
      </x:c>
      <x:c r="B23" s="24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C23" s="25" t="n">
        <x:f>COUNTIFS('Mobily Pay'!$C$9:$C$500,"&lt;&gt;",'Mobily Pay'!$M$9:$M$500,"&lt;&gt;",'Mobily Pay'!$B$9:$B$500,"&lt;&gt;Merchant",'Mobily Pay'!$I$9:$I$500,"&lt;&gt;Expired",'Mobily Pay'!$B$9:$B$500,"Musaned")</x:f>
        <x:v>0</x:v>
      </x:c>
      <x:c r="D23" s="25" t="n">
        <x:f>COUNTIFS('Mobily Pay'!$C$9:$C$500,"&lt;&gt;",'Mobily Pay'!$M$9:$M$500,"&lt;&gt;",'Mobily Pay'!$B$9:$B$500,"&lt;&gt;Merchant",'Mobily Pay'!$I$9:$I$500,"&lt;&gt;Expired",'Mobily Pay'!$B$9:$B$500,"SADAD")</x:f>
        <x:v>0</x:v>
      </x:c>
      <x:c r="E23" s="25" t="n">
        <x:f>COUNTIFS('Mobily Pay'!$C$9:$C$500,"&lt;&gt;",'Mobily Pay'!$M$9:$M$500,"&lt;&gt;",'Mobily Pay'!$B$9:$B$500,"&lt;&gt;Merchant",'Mobily Pay'!$I$9:$I$500,"&lt;&gt;Expired",'Mobily Pay'!$B$9:$B$500,"Card")</x:f>
        <x:v>1</x:v>
      </x:c>
      <x:c r="F23" s="25" t="n">
        <x:f>COUNTIFS('Mobily Pay'!$C$9:$C$500,"&lt;&gt;",'Mobily Pay'!$M$9:$M$500,"&lt;&gt;",'Mobily Pay'!$B$9:$B$500,"&lt;&gt;Merchant",'Mobily Pay'!$I$9:$I$500,"&lt;&gt;Expired",'Mobily Pay'!$B$9:$B$500,"Engagement")</x:f>
        <x:v>0</x:v>
      </x:c>
      <x:c r="G23" s="25" t="n">
        <x:f>COUNTIFS('Mobily Pay'!$C$9:$C$500,"&lt;&gt;",'Mobily Pay'!$M$9:$M$500,"&lt;&gt;",'Mobily Pay'!$B$9:$B$500,"&lt;&gt;Merchant",'Mobily Pay'!$I$9:$I$500,"&lt;&gt;Expired",'Mobily Pay'!$B$9:$B$500,"Other")</x:f>
        <x:v>0</x:v>
      </x:c>
      <x:c r="X23" s="30" t="s">
        <x:v>19</x:v>
      </x:c>
      <x:c r="Y23" s="30" t="n">
        <x:f>F27</x:f>
        <x:v>2</x:v>
      </x:c>
    </x:row>
    <x:row r="24">
      <x:c r="A24" s="25" t="s">
        <x:v>23</x:v>
      </x:c>
      <x:c r="B24" s="24" t="n">
        <x:f>COUNTIFS(tiqmo!$C$9:$C$500,"&lt;&gt;",tiqmo!$M$9:$M$500,"&lt;&gt;",tiqmo!$B$9:$B$500,"&lt;&gt;Merchant",tiqmo!$I$9:$I$500,"&lt;&gt;Expired",tiqmo!$B$9:$B$500,"Remittance")</x:f>
        <x:v>1</x:v>
      </x:c>
      <x:c r="C24" s="25" t="n">
        <x:f>COUNTIFS(tiqmo!$C$9:$C$500,"&lt;&gt;",tiqmo!$M$9:$M$500,"&lt;&gt;",tiqmo!$B$9:$B$500,"&lt;&gt;Merchant",tiqmo!$I$9:$I$500,"&lt;&gt;Expired",tiqmo!$B$9:$B$500,"Musaned")</x:f>
        <x:v>0</x:v>
      </x:c>
      <x:c r="D24" s="25" t="n">
        <x:f>COUNTIFS(tiqmo!$C$9:$C$500,"&lt;&gt;",tiqmo!$M$9:$M$500,"&lt;&gt;",tiqmo!$B$9:$B$500,"&lt;&gt;Merchant",tiqmo!$I$9:$I$500,"&lt;&gt;Expired",tiqmo!$B$9:$B$500,"SADAD")</x:f>
        <x:v>1</x:v>
      </x:c>
      <x:c r="E24" s="25" t="n">
        <x:f>COUNTIFS(tiqmo!$C$9:$C$500,"&lt;&gt;",tiqmo!$M$9:$M$500,"&lt;&gt;",tiqmo!$B$9:$B$500,"&lt;&gt;Merchant",tiqmo!$I$9:$I$500,"&lt;&gt;Expired",tiqmo!$B$9:$B$500,"Card")</x:f>
        <x:v>1</x:v>
      </x:c>
      <x:c r="F24" s="25" t="n">
        <x:f>COUNTIFS(tiqmo!$C$9:$C$500,"&lt;&gt;",tiqmo!$M$9:$M$500,"&lt;&gt;",tiqmo!$B$9:$B$500,"&lt;&gt;Merchant",tiqmo!$I$9:$I$500,"&lt;&gt;Expired",tiqmo!$B$9:$B$500,"Engagement")</x:f>
        <x:v>0</x:v>
      </x:c>
      <x:c r="G24" s="25" t="n">
        <x:f>COUNTIFS(tiqmo!$C$9:$C$500,"&lt;&gt;",tiqmo!$M$9:$M$500,"&lt;&gt;",tiqmo!$B$9:$B$500,"&lt;&gt;Merchant",tiqmo!$I$9:$I$500,"&lt;&gt;Expired",tiqmo!$B$9:$B$500,"Other")</x:f>
        <x:v>0</x:v>
      </x:c>
      <x:c r="X24" s="30" t="s">
        <x:v>29</x:v>
      </x:c>
      <x:c r="Y24" s="30" t="n">
        <x:f>G27</x:f>
        <x:v>1</x:v>
      </x:c>
    </x:row>
    <x:row r="25">
      <x:c r="A25" s="25" t="s">
        <x:v>24</x:v>
      </x:c>
      <x:c r="B25" s="24" t="n">
        <x:f>COUNTIFS(urpay!$C$9:$C$500,"&lt;&gt;",urpay!$M$9:$M$500,"&lt;&gt;",urpay!$B$9:$B$500,"&lt;&gt;Merchant",urpay!$I$9:$I$500,"&lt;&gt;Expired",urpay!$B$9:$B$500,"Remittance")</x:f>
        <x:v>1</x:v>
      </x:c>
      <x:c r="C25" s="25" t="n">
        <x:f>COUNTIFS(urpay!$C$9:$C$500,"&lt;&gt;",urpay!$M$9:$M$500,"&lt;&gt;",urpay!$B$9:$B$500,"&lt;&gt;Merchant",urpay!$I$9:$I$500,"&lt;&gt;Expired",urpay!$B$9:$B$500,"Musaned")</x:f>
        <x:v>1</x:v>
      </x:c>
      <x:c r="D25" s="25" t="n">
        <x:f>COUNTIFS(urpay!$C$9:$C$500,"&lt;&gt;",urpay!$M$9:$M$500,"&lt;&gt;",urpay!$B$9:$B$500,"&lt;&gt;Merchant",urpay!$I$9:$I$500,"&lt;&gt;Expired",urpay!$B$9:$B$500,"SADAD")</x:f>
        <x:v>0</x:v>
      </x:c>
      <x:c r="E25" s="25" t="n">
        <x:f>COUNTIFS(urpay!$C$9:$C$500,"&lt;&gt;",urpay!$M$9:$M$500,"&lt;&gt;",urpay!$B$9:$B$500,"&lt;&gt;Merchant",urpay!$I$9:$I$500,"&lt;&gt;Expired",urpay!$B$9:$B$500,"Card")</x:f>
        <x:v>1</x:v>
      </x:c>
      <x:c r="F25" s="25" t="n">
        <x:f>COUNTIFS(urpay!$C$9:$C$500,"&lt;&gt;",urpay!$M$9:$M$500,"&lt;&gt;",urpay!$B$9:$B$500,"&lt;&gt;Merchant",urpay!$I$9:$I$500,"&lt;&gt;Expired",urpay!$B$9:$B$500,"Engagement")</x:f>
        <x:v>0</x:v>
      </x:c>
      <x:c r="G25" s="25" t="n">
        <x:f>COUNTIFS(urpay!$C$9:$C$500,"&lt;&gt;",urpay!$M$9:$M$500,"&lt;&gt;",urpay!$B$9:$B$500,"&lt;&gt;Merchant",urpay!$I$9:$I$500,"&lt;&gt;Expired",urpay!$B$9:$B$500,"Other")</x:f>
        <x:v>0</x:v>
      </x:c>
      <x:c r="X25" s="30"/>
      <x:c r="Y25" s="30"/>
    </x:row>
    <x:row r="26">
      <x:c r="A26" s="25" t="s">
        <x:v>25</x:v>
      </x:c>
      <x:c r="B26" s="24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C26" s="25" t="n">
        <x:f>COUNTIFS('alinma pay'!$C$9:$C$500,"&lt;&gt;",'alinma pay'!$M$9:$M$500,"&lt;&gt;",'alinma pay'!$B$9:$B$500,"&lt;&gt;Merchant",'alinma pay'!$I$9:$I$500,"&lt;&gt;Expired",'alinma pay'!$B$9:$B$500,"Musaned")</x:f>
        <x:v>1</x:v>
      </x:c>
      <x:c r="D26" s="25" t="n">
        <x:f>COUNTIFS('alinma pay'!$C$9:$C$500,"&lt;&gt;",'alinma pay'!$M$9:$M$500,"&lt;&gt;",'alinma pay'!$B$9:$B$500,"&lt;&gt;Merchant",'alinma pay'!$I$9:$I$500,"&lt;&gt;Expired",'alinma pay'!$B$9:$B$500,"SADAD")</x:f>
        <x:v>0</x:v>
      </x:c>
      <x:c r="E26" s="25" t="n">
        <x:f>COUNTIFS('alinma pay'!$C$9:$C$500,"&lt;&gt;",'alinma pay'!$M$9:$M$500,"&lt;&gt;",'alinma pay'!$B$9:$B$500,"&lt;&gt;Merchant",'alinma pay'!$I$9:$I$500,"&lt;&gt;Expired",'alinma pay'!$B$9:$B$500,"Card")</x:f>
        <x:v>2</x:v>
      </x:c>
      <x:c r="F26" s="25" t="n">
        <x:f>COUNTIFS('alinma pay'!$C$9:$C$500,"&lt;&gt;",'alinma pay'!$M$9:$M$500,"&lt;&gt;",'alinma pay'!$B$9:$B$500,"&lt;&gt;Merchant",'alinma pay'!$I$9:$I$500,"&lt;&gt;Expired",'alinma pay'!$B$9:$B$500,"Engagement")</x:f>
        <x:v>0</x:v>
      </x:c>
      <x:c r="G26" s="25" t="n">
        <x:f>COUNTIFS('alinma pay'!$C$9:$C$500,"&lt;&gt;",'alinma pay'!$M$9:$M$500,"&lt;&gt;",'alinma pay'!$B$9:$B$500,"&lt;&gt;Merchant",'alinma pay'!$I$9:$I$500,"&lt;&gt;Expired",'alinma pay'!$B$9:$B$500,"Other")</x:f>
        <x:v>0</x:v>
      </x:c>
      <x:c r="X26" s="30"/>
      <x:c r="Y26" s="30"/>
    </x:row>
    <x:row r="27">
      <x:c r="A27" s="23" t="s">
        <x:v>30</x:v>
      </x:c>
      <x:c r="B27" s="24" t="n">
        <x:f t="shared" ref="B27:G27" si="0">SUM(B21:B26)</x:f>
        <x:v>8</x:v>
      </x:c>
      <x:c r="C27" s="23">
        <x:f t="shared" si="0"/>
        <x:v>1</x:v>
      </x:c>
      <x:c r="D27" s="23">
        <x:f t="shared" si="0"/>
        <x:v>1</x:v>
      </x:c>
      <x:c r="E27" s="23">
        <x:f t="shared" si="0"/>
        <x:v>10</x:v>
      </x:c>
      <x:c r="F27" s="23">
        <x:f t="shared" si="0"/>
        <x:v>2</x:v>
      </x:c>
      <x:c r="G27" s="23">
        <x:f t="shared" si="0"/>
        <x:v>1</x:v>
      </x:c>
      <x:c r="X27" s="30"/>
      <x:c r="Y27" s="30"/>
    </x:row>
    <x:row r="28">
      <x:c r="X28" s="30"/>
      <x:c r="Y28" s="30"/>
    </x:row>
    <x:row r="29">
      <x:c r="X29" s="30"/>
      <x:c r="Y29" s="30"/>
    </x:row>
    <x:row r="30" ht="16.5">
      <x:c r="A30" s="46" t="s">
        <x:v>31</x:v>
      </x:c>
      <x:c r="B30" s="46"/>
      <x:c r="C30" s="46"/>
      <x:c r="D30" s="46"/>
      <x:c r="E30" s="46"/>
      <x:c r="F30" s="46"/>
      <x:c r="G30" s="46"/>
      <x:c r="H30" s="46"/>
      <x:c r="I30" s="46"/>
      <x:c r="J30" s="46"/>
      <x:c r="K30" s="46"/>
      <x:c r="L30" s="46"/>
      <x:c r="M30" s="46"/>
      <x:c r="N30" s="46"/>
      <x:c r="X30" s="30" t="s">
        <x:v>9</x:v>
      </x:c>
      <x:c r="Y30" s="30" t="s">
        <x:v>5</x:v>
      </x:c>
    </x:row>
    <x:row r="31" ht="20" customHeight="1">
      <x:c r="X31" s="30" t="str">
        <x:f t="shared" ref="X31:X36" si="1">A10</x:f>
        <x:v>STC Bank</x:v>
      </x:c>
      <x:c r="Y31" s="30" t="n">
        <x:f>H10</x:f>
        <x:v>0</x:v>
      </x:c>
    </x:row>
    <x:row r="32" ht="22.649999618530273" customHeight="1">
      <x:c r="A32" s="31" t="s">
        <x:v>9</x:v>
      </x:c>
      <x:c r="B32" s="31" t="s">
        <x:v>32</x:v>
      </x:c>
      <x:c r="C32" s="31" t="s">
        <x:v>33</x:v>
      </x:c>
      <x:c r="D32" s="31" t="s">
        <x:v>10</x:v>
      </x:c>
      <x:c r="E32" s="31" t="s">
        <x:v>14</x:v>
      </x:c>
      <x:c r="X32" s="30" t="str">
        <x:f t="shared" si="1"/>
        <x:v>barq</x:v>
      </x:c>
      <x:c r="Y32" s="30" t="n">
        <x:f>H11</x:f>
        <x:v>2</x:v>
      </x:c>
    </x:row>
    <x:row r="33" ht="17.399999618530273" customHeight="1">
      <x:c r="A33" s="32" t="s">
        <x:v>20</x:v>
      </x:c>
      <x:c r="B33" s="32" t="n">
        <x:f>COUNTIFS('STC Bank'!$C$9:$C$500,"&lt;&gt;",'STC Bank'!$M$9:$M$500,"&lt;&gt;",'STC Bank'!$B$9:$B$500,"Merchant")</x:f>
        <x:v>10</x:v>
      </x:c>
      <x:c r="C33" s="32" t="n">
        <x:f>COUNTIFS('STC Bank'!$C$9:$C$500,"&lt;&gt;",'STC Bank'!$M$9:$M$500,"&lt;&gt;",'STC Bank'!$B$9:$B$500,"Merchant",'STC Bank'!$I$9:$I$500,"&lt;&gt;Expired")</x:f>
        <x:v>8</x:v>
      </x:c>
      <x:c r="D33" s="32" t="n">
        <x:f>COUNTIFS('STC Bank'!$C$9:$C$500,"&lt;&gt;",'STC Bank'!$M$9:$M$500,"&lt;&gt;",'STC Bank'!$B$9:$B$500,"Merchant",'STC Bank'!$I$9:$I$500,"Active")</x:f>
        <x:v>7</x:v>
      </x:c>
      <x:c r="E33" s="32" t="n">
        <x:f>COUNTIFS('STC Bank'!$C$9:$C$500,"&lt;&gt;",'STC Bank'!$M$9:$M$500,"&lt;&gt;",'STC Bank'!$B$9:$B$500,"Merchant",'STC Bank'!$I$9:$I$500,"Expired")</x:f>
        <x:v>2</x:v>
      </x:c>
      <x:c r="X33" s="30" t="str">
        <x:f t="shared" si="1"/>
        <x:v>Mobily Pay</x:v>
      </x:c>
      <x:c r="Y33" s="30" t="n">
        <x:f>H12</x:f>
        <x:v>2</x:v>
      </x:c>
    </x:row>
    <x:row r="34" ht="17.399999618530273" customHeight="1">
      <x:c r="A34" s="32" t="s">
        <x:v>21</x:v>
      </x:c>
      <x:c r="B34" s="32" t="n">
        <x:f>COUNTIFS(barq!$C$9:$C$499,"&lt;&gt;",barq!$M$9:$M$499,"&lt;&gt;",barq!$B$9:$B$499,"Merchant")</x:f>
        <x:v>1</x:v>
      </x:c>
      <x:c r="C34" s="32" t="n">
        <x:f>COUNTIFS(barq!$C$9:$C$499,"&lt;&gt;",barq!$M$9:$M$499,"&lt;&gt;",barq!$B$9:$B$499,"Merchant",barq!$I$9:$I$499,"&lt;&gt;Expired")</x:f>
        <x:v>1</x:v>
      </x:c>
      <x:c r="D34" s="32" t="n">
        <x:f>COUNTIFS(barq!$C$9:$C$499,"&lt;&gt;",barq!$M$9:$M$499,"&lt;&gt;",barq!$B$9:$B$499,"Merchant",barq!$I$9:$I$499,"Active")</x:f>
        <x:v>0</x:v>
      </x:c>
      <x:c r="E34" s="32" t="n">
        <x:f>COUNTIFS(barq!$C$9:$C$499,"&lt;&gt;",barq!$M$9:$M$499,"&lt;&gt;",barq!$B$9:$B$499,"Merchant",barq!$I$9:$I$499,"Expired")</x:f>
        <x:v>0</x:v>
      </x:c>
      <x:c r="X34" s="30" t="str">
        <x:f t="shared" si="1"/>
        <x:v>tiqmo</x:v>
      </x:c>
      <x:c r="Y34" s="30" t="n">
        <x:f>H13</x:f>
        <x:v>1</x:v>
      </x:c>
    </x:row>
    <x:row r="35" ht="17.399999618530273" customHeight="1">
      <x:c r="A35" s="32" t="s">
        <x:v>22</x:v>
      </x:c>
      <x:c r="B35" s="32" t="n">
        <x:f>COUNTIFS('Mobily Pay'!$C$9:$C$500,"&lt;&gt;",'Mobily Pay'!$M$9:$M$500,"&lt;&gt;",'Mobily Pay'!$B$9:$B$500,"Merchant")</x:f>
        <x:v>1</x:v>
      </x:c>
      <x:c r="C35" s="32" t="n">
        <x:f>COUNTIFS('Mobily Pay'!$C$9:$C$500,"&lt;&gt;",'Mobily Pay'!$M$9:$M$500,"&lt;&gt;",'Mobily Pay'!$B$9:$B$500,"Merchant",'Mobily Pay'!$I$9:$I$500,"&lt;&gt;Expired")</x:f>
        <x:v>1</x:v>
      </x:c>
      <x:c r="D35" s="32" t="n">
        <x:f>COUNTIFS('Mobily Pay'!$C$9:$C$500,"&lt;&gt;",'Mobily Pay'!$M$9:$M$500,"&lt;&gt;",'Mobily Pay'!$B$9:$B$500,"Merchant",'Mobily Pay'!$I$9:$I$500,"Active")</x:f>
        <x:v>1</x:v>
      </x:c>
      <x:c r="E35" s="32" t="n">
        <x:f>COUNTIFS('Mobily Pay'!$C$9:$C$500,"&lt;&gt;",'Mobily Pay'!$M$9:$M$500,"&lt;&gt;",'Mobily Pay'!$B$9:$B$500,"Merchant",'Mobily Pay'!$I$9:$I$500,"Expired")</x:f>
        <x:v>0</x:v>
      </x:c>
      <x:c r="X35" s="30" t="str">
        <x:f t="shared" si="1"/>
        <x:v>urpay</x:v>
      </x:c>
      <x:c r="Y35" s="30" t="n">
        <x:f>H14</x:f>
        <x:v>1</x:v>
      </x:c>
    </x:row>
    <x:row r="36" ht="17.399999618530273" customHeight="1">
      <x:c r="A36" s="32" t="s">
        <x:v>23</x:v>
      </x:c>
      <x:c r="B36" s="32" t="n">
        <x:f>COUNTIFS(tiqmo!$C$9:$C$500,"&lt;&gt;",tiqmo!$M$9:$M$500,"&lt;&gt;",tiqmo!$B$9:$B$500,"Merchant")</x:f>
        <x:v>1</x:v>
      </x:c>
      <x:c r="C36" s="32" t="n">
        <x:f>COUNTIFS(tiqmo!$C$9:$C$500,"&lt;&gt;",tiqmo!$M$9:$M$500,"&lt;&gt;",tiqmo!$B$9:$B$500,"Merchant",tiqmo!$I$9:$I$500,"&lt;&gt;Expired")</x:f>
        <x:v>0</x:v>
      </x:c>
      <x:c r="D36" s="32" t="n">
        <x:f>COUNTIFS(tiqmo!$C$9:$C$500,"&lt;&gt;",tiqmo!$M$9:$M$500,"&lt;&gt;",tiqmo!$B$9:$B$500,"Merchant",tiqmo!$I$9:$I$500,"Active")</x:f>
        <x:v>0</x:v>
      </x:c>
      <x:c r="E36" s="32" t="n">
        <x:f>COUNTIFS(tiqmo!$C$9:$C$500,"&lt;&gt;",tiqmo!$M$9:$M$500,"&lt;&gt;",tiqmo!$B$9:$B$500,"Merchant",tiqmo!$I$9:$I$500,"Expired")</x:f>
        <x:v>1</x:v>
      </x:c>
      <x:c r="X36" s="30" t="str">
        <x:f t="shared" si="1"/>
        <x:v>alinma pay</x:v>
      </x:c>
      <x:c r="Y36" s="30" t="n">
        <x:f>H15</x:f>
        <x:v>2</x:v>
      </x:c>
    </x:row>
    <x:row r="37" ht="17.399999618530273" customHeight="1">
      <x:c r="A37" s="32" t="s">
        <x:v>24</x:v>
      </x:c>
      <x:c r="B37" s="32" t="n">
        <x:f>COUNTIFS(urpay!$C$9:$C$500,"&lt;&gt;",urpay!$M$9:$M$500,"&lt;&gt;",urpay!$B$9:$B$500,"Merchant")</x:f>
        <x:v>6</x:v>
      </x:c>
      <x:c r="C37" s="32" t="n">
        <x:f>COUNTIFS(urpay!$C$9:$C$500,"&lt;&gt;",urpay!$M$9:$M$500,"&lt;&gt;",urpay!$B$9:$B$500,"Merchant",urpay!$I$9:$I$500,"&lt;&gt;Expired")</x:f>
        <x:v>5</x:v>
      </x:c>
      <x:c r="D37" s="32" t="n">
        <x:f>COUNTIFS(urpay!$C$9:$C$500,"&lt;&gt;",urpay!$M$9:$M$500,"&lt;&gt;",urpay!$B$9:$B$500,"Merchant",urpay!$I$9:$I$500,"Active")</x:f>
        <x:v>5</x:v>
      </x:c>
      <x:c r="E37" s="32" t="n">
        <x:f>COUNTIFS(urpay!$C$9:$C$500,"&lt;&gt;",urpay!$M$9:$M$500,"&lt;&gt;",urpay!$B$9:$B$500,"Merchant",urpay!$I$9:$I$500,"Expired")</x:f>
        <x:v>1</x:v>
      </x:c>
    </x:row>
    <x:row r="38" ht="17.399999618530273" customHeight="1">
      <x:c r="A38" s="32" t="s">
        <x:v>25</x:v>
      </x:c>
      <x:c r="B38" s="32" t="n">
        <x:f>COUNTIFS('alinma pay'!$C$9:$C$500,"&lt;&gt;",'alinma pay'!$M$9:$M$500,"&lt;&gt;",'alinma pay'!$B$9:$B$500,"Merchant")</x:f>
        <x:v>0</x:v>
      </x:c>
      <x:c r="C38" s="32" t="n">
        <x:f>COUNTIFS('alinma pay'!$C$9:$C$500,"&lt;&gt;",'alinma pay'!$M$9:$M$500,"&lt;&gt;",'alinma pay'!$B$9:$B$500,"Merchant",'alinma pay'!$I$9:$I$500,"&lt;&gt;Expired")</x:f>
        <x:v>0</x:v>
      </x:c>
      <x:c r="D38" s="32" t="n">
        <x:f>COUNTIFS('alinma pay'!$C$9:$C$500,"&lt;&gt;",'alinma pay'!$M$9:$M$500,"&lt;&gt;",'alinma pay'!$B$9:$B$500,"Merchant",'alinma pay'!$I$9:$I$500,"Active")</x:f>
        <x:v>0</x:v>
      </x:c>
      <x:c r="E38" s="32" t="n">
        <x:f>COUNTIFS('alinma pay'!$C$9:$C$500,"&lt;&gt;",'alinma pay'!$M$9:$M$500,"&lt;&gt;",'alinma pay'!$B$9:$B$500,"Merchant",'alinma pay'!$I$9:$I$500,"Expired")</x:f>
        <x:v>0</x:v>
      </x:c>
    </x:row>
    <x:row r="39">
      <x:c r="A39" s="33" t="s">
        <x:v>30</x:v>
      </x:c>
      <x:c r="B39" s="33" t="n">
        <x:f>SUM(B33:B38)</x:f>
        <x:v>19</x:v>
      </x:c>
      <x:c r="C39" s="33" t="n">
        <x:f>SUM(C33:C38)</x:f>
        <x:v>15</x:v>
      </x:c>
      <x:c r="D39" s="33" t="n">
        <x:f>SUM(D33:D38)</x:f>
        <x:v>13</x:v>
      </x:c>
      <x:c r="E39" s="33" t="n">
        <x:f>SUM(E33:E38)</x:f>
        <x:v>4</x:v>
      </x:c>
    </x:row>
    <x:row r="42" ht="16.5">
      <x:c r="A42" s="45" t="s">
        <x:v>34</x:v>
      </x:c>
      <x:c r="B42" s="45"/>
      <x:c r="C42" s="45"/>
      <x:c r="D42" s="45"/>
      <x:c r="E42" s="45"/>
      <x:c r="F42" s="45"/>
      <x:c r="G42" s="45"/>
      <x:c r="H42" s="45"/>
      <x:c r="I42" s="45"/>
      <x:c r="J42" s="45"/>
      <x:c r="K42" s="45"/>
      <x:c r="L42" s="45"/>
      <x:c r="M42" s="45"/>
      <x:c r="N42" s="45"/>
    </x:row>
    <x:row r="43" ht="20.649999618530273" customHeight="1">
      <x:c r="A43" s="48" t="str">
        <x:f>"Largest current campaign portfolio (merchant offers excluded): "&amp;INDEX($A$10:$A$15,MATCH(MAX($B$10:$B$15),$B$10:$B$15,0))&amp;" ("&amp;MAX($B$10:$B$15)&amp;" campaigns)."</x:f>
        <x:v>Largest current campaign portfolio (merchant offers excluded): STC Bank (5 campaigns).</x:v>
      </x:c>
      <x:c r="B43" s="48"/>
      <x:c r="C43" s="48"/>
      <x:c r="D43" s="48"/>
      <x:c r="E43" s="48"/>
      <x:c r="F43" s="48"/>
      <x:c r="G43" s="48"/>
      <x:c r="H43" s="48"/>
      <x:c r="I43" s="48"/>
      <x:c r="J43" s="48"/>
      <x:c r="K43" s="48"/>
      <x:c r="L43" s="48"/>
      <x:c r="M43" s="48"/>
      <x:c r="N43" s="48"/>
    </x:row>
    <x:row r="44" ht="20.649999618530273" customHeight="1">
      <x:c r="A44" s="49" t="str">
        <x:f>"Remittance campaigns currently documented: "&amp;SUM($H$10:$H$15)&amp;"; highest competitor: "&amp;INDEX($A$10:$A$15,MATCH(MAX($H$10:$H$15),$H$10:$H$15,0))&amp;" ("&amp;MAX($H$10:$H$15)&amp;")."</x:f>
        <x:v>Remittance campaigns currently documented: 8; highest competitor: barq (2).</x:v>
      </x:c>
      <x:c r="B44" s="49"/>
      <x:c r="C44" s="49"/>
      <x:c r="D44" s="49"/>
      <x:c r="E44" s="49"/>
      <x:c r="F44" s="49"/>
      <x:c r="G44" s="49"/>
      <x:c r="H44" s="49"/>
      <x:c r="I44" s="49"/>
      <x:c r="J44" s="49"/>
      <x:c r="K44" s="49"/>
      <x:c r="L44" s="49"/>
      <x:c r="M44" s="49"/>
      <x:c r="N44" s="49"/>
    </x:row>
    <x:row r="45" ht="20.649999618530273" customHeight="1">
      <x:c r="A45" s="49" t="str">
        <x:f>"Remittance share of current campaigns: "&amp;TEXT(SUM($H$10:$H$15)/SUM($B$10:$B$15),"0%")&amp;"."</x:f>
        <x:v>Remittance share of current campaigns: 33%.</x:v>
      </x:c>
      <x:c r="B45" s="49"/>
      <x:c r="C45" s="49"/>
      <x:c r="D45" s="49"/>
      <x:c r="E45" s="49"/>
      <x:c r="F45" s="49"/>
      <x:c r="G45" s="49"/>
      <x:c r="H45" s="49"/>
      <x:c r="I45" s="49"/>
      <x:c r="J45" s="49"/>
      <x:c r="K45" s="49"/>
      <x:c r="L45" s="49"/>
      <x:c r="M45" s="49"/>
      <x:c r="N45" s="49"/>
    </x:row>
    <x:row r="46" ht="20.649999618530273" customHeight="1">
      <x:c r="A46" s="50" t="str">
        <x:f>"Merchant offers retained separately for reference: "&amp;SUM($M$10:$M$15)&amp;"."</x:f>
        <x:v>Merchant offers retained separately for reference: 15.</x:v>
      </x:c>
      <x:c r="B46" s="50"/>
      <x:c r="C46" s="50"/>
      <x:c r="D46" s="50"/>
      <x:c r="E46" s="50"/>
      <x:c r="F46" s="50"/>
      <x:c r="G46" s="50"/>
      <x:c r="H46" s="50"/>
      <x:c r="I46" s="50"/>
      <x:c r="J46" s="50"/>
      <x:c r="K46" s="50"/>
      <x:c r="L46" s="50"/>
      <x:c r="M46" s="50"/>
      <x:c r="N46" s="50"/>
    </x:row>
    <x:row r="47" ht="20.649999618530273" customHeight="1">
      <x:c r="A47" s="48" t="str">
        <x:f>"Campaigns expiring within 30 days: "&amp;SUM($E$10:$F$15)&amp;"."</x:f>
        <x:v>Campaigns expiring within 30 days: 5.</x:v>
      </x:c>
      <x:c r="B47" s="48"/>
      <x:c r="C47" s="48"/>
      <x:c r="D47" s="48"/>
      <x:c r="E47" s="48"/>
      <x:c r="F47" s="48"/>
      <x:c r="G47" s="48"/>
      <x:c r="H47" s="48"/>
      <x:c r="I47" s="48"/>
      <x:c r="J47" s="48"/>
      <x:c r="K47" s="48"/>
      <x:c r="L47" s="48"/>
      <x:c r="M47" s="48"/>
      <x:c r="N47" s="48"/>
    </x:row>
    <x:row r="48" ht="20.649999618530273" customHeight="1">
      <x:c r="A48" s="50"/>
      <x:c r="B48" s="50"/>
      <x:c r="C48" s="50"/>
      <x:c r="D48" s="50"/>
      <x:c r="E48" s="50"/>
      <x:c r="F48" s="50"/>
      <x:c r="G48" s="50"/>
      <x:c r="H48" s="50"/>
      <x:c r="I48" s="50"/>
      <x:c r="J48" s="50"/>
      <x:c r="K48" s="50"/>
      <x:c r="L48" s="50"/>
      <x:c r="M48" s="50"/>
      <x:c r="N48" s="50"/>
    </x:row>
    <x:row r="51" ht="16.5">
      <x:c r="A51" s="47" t="s">
        <x:v>35</x:v>
      </x:c>
      <x:c r="B51" s="47"/>
      <x:c r="C51" s="47"/>
      <x:c r="D51" s="47"/>
      <x:c r="E51" s="47"/>
      <x:c r="F51" s="47"/>
      <x:c r="G51" s="47"/>
      <x:c r="H51" s="47"/>
      <x:c r="I51" s="47"/>
      <x:c r="J51" s="47"/>
      <x:c r="K51" s="47"/>
      <x:c r="L51" s="47"/>
      <x:c r="M51" s="47"/>
      <x:c r="N51" s="47"/>
    </x:row>
    <x:row r="52" ht="20.649999618530273" customHeight="1"/>
    <x:row r="53" ht="28" customHeight="1">
      <x:c r="A53" s="36" t="s">
        <x:v>9</x:v>
      </x:c>
      <x:c r="B53" s="36" t="s">
        <x:v>36</x:v>
      </x:c>
      <x:c r="C53" s="36" t="s">
        <x:v>37</x:v>
      </x:c>
      <x:c r="D53" s="36" t="s">
        <x:v>38</x:v>
      </x:c>
      <x:c r="E53" s="36" t="s">
        <x:v>39</x:v>
      </x:c>
      <x:c r="F53" s="36" t="s">
        <x:v>40</x:v>
      </x:c>
    </x:row>
    <x:row r="54" ht="18.649999618530273" customHeight="1">
      <x:c r="A54" s="32" t="s">
        <x:v>20</x:v>
      </x:c>
      <x:c r="B54" s="32" t="n">
        <x:f>COUNTIFS('STC Bank'!$C$9:$C$500,"&lt;&gt;",'STC Bank'!$B$9:$B$500,"&lt;&gt;Merchant",'STC Bank'!$O$9:$O$500,"&lt;&gt;")</x:f>
        <x:v>4</x:v>
      </x:c>
      <x:c r="C54" s="32" t="n">
        <x:f>COUNTIFS('STC Bank'!$C$9:$C$500,"&lt;&gt;",'STC Bank'!$B$9:$B$500,"&lt;&gt;Merchant",'STC Bank'!$P$9:$P$500,"&lt;&gt;")</x:f>
        <x:v>4</x:v>
      </x:c>
      <x:c r="D54" s="32" t="n">
        <x:f>COUNTIFS('STC Bank'!$C$9:$C$500,"&lt;&gt;",'STC Bank'!$B$9:$B$500,"&lt;&gt;Merchant",'STC Bank'!$Q$9:$Q$500,"&lt;&gt;")</x:f>
        <x:v>4</x:v>
      </x:c>
      <x:c r="E54" s="32" t="n">
        <x:f>COUNTIFS('STC Bank'!$C$9:$C$500,"&lt;&gt;",'STC Bank'!$B$9:$B$500,"&lt;&gt;Merchant",'STC Bank'!$R$9:$R$500,"&lt;&gt;")</x:f>
        <x:v>2</x:v>
      </x:c>
      <x:c r="F54" s="32" t="n">
        <x:f>SUMPRODUCT(--('STC Bank'!$C$9:$C$500&lt;&gt;""),--('STC Bank'!$B$9:$B$500&lt;&gt;"Merchant"),--((--('STC Bank'!$O$9:$O$500&lt;&gt;"")+--('STC Bank'!$P$9:$P$500&lt;&gt;"")+--('STC Bank'!$Q$9:$Q$500&lt;&gt;"")+--('STC Bank'!$R$9:$R$500&lt;&gt;""))&gt;=2))</x:f>
        <x:v>4</x:v>
      </x:c>
    </x:row>
    <x:row r="55" ht="18.649999618530273" customHeight="1">
      <x:c r="A55" s="32" t="s">
        <x:v>21</x:v>
      </x:c>
      <x:c r="B55" s="32" t="n">
        <x:f>COUNTIFS(barq!$C$9:$C$499,"&lt;&gt;",barq!$B$9:$B$499,"&lt;&gt;Merchant",barq!$O$9:$O$499,"&lt;&gt;")</x:f>
        <x:v>4</x:v>
      </x:c>
      <x:c r="C55" s="32" t="n">
        <x:f>COUNTIFS(barq!$C$9:$C$499,"&lt;&gt;",barq!$B$9:$B$499,"&lt;&gt;Merchant",barq!$P$9:$P$499,"&lt;&gt;")</x:f>
        <x:v>1</x:v>
      </x:c>
      <x:c r="D55" s="32" t="n">
        <x:f>COUNTIFS(barq!$C$9:$C$499,"&lt;&gt;",barq!$B$9:$B$499,"&lt;&gt;Merchant",barq!$Q$9:$Q$499,"&lt;&gt;")</x:f>
        <x:v>4</x:v>
      </x:c>
      <x:c r="E55" s="32" t="n">
        <x:f>COUNTIFS(barq!$C$9:$C$499,"&lt;&gt;",barq!$B$9:$B$499,"&lt;&gt;Merchant",barq!$R$9:$R$499,"&lt;&gt;")</x:f>
        <x:v>1</x:v>
      </x:c>
      <x:c r="F55" s="32" t="n">
        <x:f>SUMPRODUCT(--(barq!$C$9:$C$499&lt;&gt;""),--(barq!$B$9:$B$499&lt;&gt;"Merchant"),--((--(barq!$O$9:$O$499&lt;&gt;"")+--(barq!$P$9:$P$499&lt;&gt;"")+--(barq!$Q$9:$Q$499&lt;&gt;"")+--(barq!$R$9:$R$499&lt;&gt;""))&gt;=2))</x:f>
        <x:v>3</x:v>
      </x:c>
    </x:row>
    <x:row r="56" ht="18.649999618530273" customHeight="1">
      <x:c r="A56" s="32" t="s">
        <x:v>22</x:v>
      </x:c>
      <x:c r="B56" s="32" t="n">
        <x:f>COUNTIFS('Mobily Pay'!$C$9:$C$500,"&lt;&gt;",'Mobily Pay'!$B$9:$B$500,"&lt;&gt;Merchant",'Mobily Pay'!$O$9:$O$500,"&lt;&gt;")</x:f>
        <x:v>3</x:v>
      </x:c>
      <x:c r="C56" s="32" t="n">
        <x:f>COUNTIFS('Mobily Pay'!$C$9:$C$500,"&lt;&gt;",'Mobily Pay'!$B$9:$B$500,"&lt;&gt;Merchant",'Mobily Pay'!$P$9:$P$500,"&lt;&gt;")</x:f>
        <x:v>3</x:v>
      </x:c>
      <x:c r="D56" s="32" t="n">
        <x:f>COUNTIFS('Mobily Pay'!$C$9:$C$500,"&lt;&gt;",'Mobily Pay'!$B$9:$B$500,"&lt;&gt;Merchant",'Mobily Pay'!$Q$9:$Q$500,"&lt;&gt;")</x:f>
        <x:v>5</x:v>
      </x:c>
      <x:c r="E56" s="32" t="n">
        <x:f>COUNTIFS('Mobily Pay'!$C$9:$C$500,"&lt;&gt;",'Mobily Pay'!$B$9:$B$500,"&lt;&gt;Merchant",'Mobily Pay'!$R$9:$R$500,"&lt;&gt;")</x:f>
        <x:v>1</x:v>
      </x:c>
      <x:c r="F56" s="32" t="n">
        <x:f>SUMPRODUCT(--('Mobily Pay'!$C$9:$C$500&lt;&gt;""),--('Mobily Pay'!$B$9:$B$500&lt;&gt;"Merchant"),--((--('Mobily Pay'!$O$9:$O$500&lt;&gt;"")+--('Mobily Pay'!$P$9:$P$500&lt;&gt;"")+--('Mobily Pay'!$Q$9:$Q$500&lt;&gt;"")+--('Mobily Pay'!$R$9:$R$500&lt;&gt;""))&gt;=2))</x:f>
        <x:v>4</x:v>
      </x:c>
    </x:row>
    <x:row r="57" ht="18.649999618530273" customHeight="1">
      <x:c r="A57" s="32" t="s">
        <x:v>23</x:v>
      </x:c>
      <x:c r="B57" s="32" t="n">
        <x:f>COUNTIFS(tiqmo!$C$9:$C$500,"&lt;&gt;",tiqmo!$B$9:$B$500,"&lt;&gt;Merchant",tiqmo!$O$9:$O$500,"&lt;&gt;")</x:f>
        <x:v>4</x:v>
      </x:c>
      <x:c r="C57" s="32" t="n">
        <x:f>COUNTIFS(tiqmo!$C$9:$C$500,"&lt;&gt;",tiqmo!$B$9:$B$500,"&lt;&gt;Merchant",tiqmo!$P$9:$P$500,"&lt;&gt;")</x:f>
        <x:v>5</x:v>
      </x:c>
      <x:c r="D57" s="32" t="n">
        <x:f>COUNTIFS(tiqmo!$C$9:$C$500,"&lt;&gt;",tiqmo!$B$9:$B$500,"&lt;&gt;Merchant",tiqmo!$Q$9:$Q$500,"&lt;&gt;")</x:f>
        <x:v>5</x:v>
      </x:c>
      <x:c r="E57" s="32" t="n">
        <x:f>COUNTIFS(tiqmo!$C$9:$C$500,"&lt;&gt;",tiqmo!$B$9:$B$500,"&lt;&gt;Merchant",tiqmo!$R$9:$R$500,"&lt;&gt;")</x:f>
        <x:v>1</x:v>
      </x:c>
      <x:c r="F57" s="32" t="n">
        <x:f>SUMPRODUCT(--(tiqmo!$C$9:$C$500&lt;&gt;""),--(tiqmo!$B$9:$B$500&lt;&gt;"Merchant"),--((--(tiqmo!$O$9:$O$500&lt;&gt;"")+--(tiqmo!$P$9:$P$500&lt;&gt;"")+--(tiqmo!$Q$9:$Q$500&lt;&gt;"")+--(tiqmo!$R$9:$R$500&lt;&gt;""))&gt;=2))</x:f>
        <x:v>5</x:v>
      </x:c>
    </x:row>
    <x:row r="58" ht="18.649999618530273" customHeight="1">
      <x:c r="A58" s="32" t="s">
        <x:v>24</x:v>
      </x:c>
      <x:c r="B58" s="32" t="n">
        <x:f>COUNTIFS(urpay!$C$9:$C$500,"&lt;&gt;",urpay!$B$9:$B$500,"&lt;&gt;Merchant",urpay!$O$9:$O$500,"&lt;&gt;")</x:f>
        <x:v>0</x:v>
      </x:c>
      <x:c r="C58" s="32" t="n">
        <x:f>COUNTIFS(urpay!$C$9:$C$500,"&lt;&gt;",urpay!$B$9:$B$500,"&lt;&gt;Merchant",urpay!$P$9:$P$500,"&lt;&gt;")</x:f>
        <x:v>2</x:v>
      </x:c>
      <x:c r="D58" s="32" t="n">
        <x:f>COUNTIFS(urpay!$C$9:$C$500,"&lt;&gt;",urpay!$B$9:$B$500,"&lt;&gt;Merchant",urpay!$Q$9:$Q$500,"&lt;&gt;")</x:f>
        <x:v>2</x:v>
      </x:c>
      <x:c r="E58" s="32" t="n">
        <x:f>COUNTIFS(urpay!$C$9:$C$500,"&lt;&gt;",urpay!$B$9:$B$500,"&lt;&gt;Merchant",urpay!$R$9:$R$500,"&lt;&gt;")</x:f>
        <x:v>0</x:v>
      </x:c>
      <x:c r="F58" s="32" t="n">
        <x:f>SUMPRODUCT(--(urpay!$C$9:$C$500&lt;&gt;""),--(urpay!$B$9:$B$500&lt;&gt;"Merchant"),--((--(urpay!$O$9:$O$500&lt;&gt;"")+--(urpay!$P$9:$P$500&lt;&gt;"")+--(urpay!$Q$9:$Q$500&lt;&gt;"")+--(urpay!$R$9:$R$500&lt;&gt;""))&gt;=2))</x:f>
        <x:v>1</x:v>
      </x:c>
    </x:row>
    <x:row r="59" ht="18.649999618530273" customHeight="1">
      <x:c r="A59" s="32" t="s">
        <x:v>25</x:v>
      </x:c>
      <x:c r="B59" s="32" t="n">
        <x:f>COUNTIFS('alinma pay'!$C$9:$C$500,"&lt;&gt;",'alinma pay'!$B$9:$B$500,"&lt;&gt;Merchant",'alinma pay'!$O$9:$O$500,"&lt;&gt;")</x:f>
        <x:v>3</x:v>
      </x:c>
      <x:c r="C59" s="32" t="n">
        <x:f>COUNTIFS('alinma pay'!$C$9:$C$500,"&lt;&gt;",'alinma pay'!$B$9:$B$500,"&lt;&gt;Merchant",'alinma pay'!$P$9:$P$500,"&lt;&gt;")</x:f>
        <x:v>3</x:v>
      </x:c>
      <x:c r="D59" s="32" t="n">
        <x:f>COUNTIFS('alinma pay'!$C$9:$C$500,"&lt;&gt;",'alinma pay'!$B$9:$B$500,"&lt;&gt;Merchant",'alinma pay'!$Q$9:$Q$500,"&lt;&gt;")</x:f>
        <x:v>4</x:v>
      </x:c>
      <x:c r="E59" s="32" t="n">
        <x:f>COUNTIFS('alinma pay'!$C$9:$C$500,"&lt;&gt;",'alinma pay'!$B$9:$B$500,"&lt;&gt;Merchant",'alinma pay'!$R$9:$R$500,"&lt;&gt;")</x:f>
        <x:v>0</x:v>
      </x:c>
      <x:c r="F59" s="32" t="n">
        <x:f>SUMPRODUCT(--('alinma pay'!$C$9:$C$500&lt;&gt;""),--('alinma pay'!$B$9:$B$500&lt;&gt;"Merchant"),--((--('alinma pay'!$O$9:$O$500&lt;&gt;"")+--('alinma pay'!$P$9:$P$500&lt;&gt;"")+--('alinma pay'!$Q$9:$Q$500&lt;&gt;"")+--('alinma pay'!$R$9:$R$500&lt;&gt;""))&gt;=2))</x:f>
        <x:v>3</x:v>
      </x:c>
    </x:row>
    <x:row r="60">
      <x:c r="A60" s="37" t="s">
        <x:v>30</x:v>
      </x:c>
      <x:c r="B60" s="37" t="n">
        <x:f t="shared" ref="B60:F60" si="2">SUM(B54:B59)</x:f>
        <x:v>18</x:v>
      </x:c>
      <x:c r="C60" s="37">
        <x:f t="shared" si="2"/>
        <x:v>16</x:v>
      </x:c>
      <x:c r="D60" s="37">
        <x:f t="shared" si="2"/>
        <x:v>22</x:v>
      </x:c>
      <x:c r="E60" s="37">
        <x:f t="shared" si="2"/>
        <x:v>5</x:v>
      </x:c>
      <x:c r="F60" s="37">
        <x:f t="shared" si="2"/>
        <x:v>18</x:v>
      </x:c>
    </x:row>
    <x:row r="63" ht="15.5">
      <x:c r="A63" s="51" t="s">
        <x:v>41</x:v>
      </x:c>
      <x:c r="B63" s="51"/>
      <x:c r="C63" s="51"/>
      <x:c r="D63" s="51"/>
      <x:c r="E63" s="51"/>
      <x:c r="F63" s="51"/>
      <x:c r="G63" s="51"/>
      <x:c r="H63" s="51"/>
      <x:c r="I63" s="51"/>
      <x:c r="J63" s="51"/>
      <x:c r="K63" s="51"/>
      <x:c r="L63" s="51"/>
      <x:c r="M63" s="51"/>
      <x:c r="N63" s="51"/>
    </x:row>
    <x:row r="64" ht="22.649999618530273" customHeight="1">
      <x:c r="A64" s="50" t="s">
        <x:v>42</x:v>
      </x:c>
      <x:c r="B64" s="50"/>
      <x:c r="C64" s="50"/>
      <x:c r="D64" s="50"/>
      <x:c r="E64" s="50"/>
      <x:c r="F64" s="50"/>
      <x:c r="G64" s="50"/>
      <x:c r="H64" s="50"/>
      <x:c r="I64" s="50"/>
      <x:c r="J64" s="50"/>
      <x:c r="K64" s="50"/>
      <x:c r="L64" s="50"/>
      <x:c r="M64" s="50"/>
      <x:c r="N64" s="50"/>
    </x:row>
    <x:row r="65" ht="22.649999618530273" customHeight="1">
      <x:c r="A65" s="48" t="s">
        <x:v>43</x:v>
      </x:c>
      <x:c r="B65" s="48"/>
      <x:c r="C65" s="48"/>
      <x:c r="D65" s="48"/>
      <x:c r="E65" s="48"/>
      <x:c r="F65" s="48"/>
      <x:c r="G65" s="48"/>
      <x:c r="H65" s="48"/>
      <x:c r="I65" s="48"/>
      <x:c r="J65" s="48"/>
      <x:c r="K65" s="48"/>
      <x:c r="L65" s="48"/>
      <x:c r="M65" s="48"/>
      <x:c r="N65" s="48"/>
    </x:row>
    <x:row r="66" ht="22.649999618530273" customHeight="1">
      <x:c r="A66" s="61" t="s">
        <x:v>44</x:v>
      </x:c>
      <x:c r="B66" s="50"/>
      <x:c r="C66" s="50"/>
      <x:c r="D66" s="50"/>
      <x:c r="E66" s="50"/>
      <x:c r="F66" s="50"/>
      <x:c r="G66" s="50"/>
      <x:c r="H66" s="50"/>
      <x:c r="I66" s="50"/>
      <x:c r="J66" s="50"/>
      <x:c r="K66" s="50"/>
      <x:c r="L66" s="50"/>
      <x:c r="M66" s="50"/>
      <x:c r="N66" s="50"/>
    </x:row>
    <x:row r="67" ht="22.649999618530273" customHeight="1">
      <x:c r="A67" s="49" t="s">
        <x:v>45</x:v>
      </x:c>
      <x:c r="B67" s="49"/>
      <x:c r="C67" s="49"/>
      <x:c r="D67" s="49"/>
      <x:c r="E67" s="49"/>
      <x:c r="F67" s="49"/>
      <x:c r="G67" s="49"/>
      <x:c r="H67" s="49"/>
      <x:c r="I67" s="49"/>
      <x:c r="J67" s="49"/>
      <x:c r="K67" s="49"/>
      <x:c r="L67" s="49"/>
      <x:c r="M67" s="49"/>
      <x:c r="N67" s="49"/>
    </x:row>
  </x:sheetData>
  <x:mergeCells>
    <x:mergeCell ref="A63:N63"/>
    <x:mergeCell ref="A64:N64"/>
    <x:mergeCell ref="A65:N65"/>
    <x:mergeCell ref="A66:N66"/>
    <x:mergeCell ref="A67:N67"/>
    <x:mergeCell ref="A18:N18"/>
    <x:mergeCell ref="A30:N30"/>
    <x:mergeCell ref="A51:N51"/>
    <x:mergeCell ref="A42:N42"/>
    <x:mergeCell ref="A43:N43"/>
    <x:mergeCell ref="A44:N44"/>
    <x:mergeCell ref="A45:N45"/>
    <x:mergeCell ref="A46:N46"/>
    <x:mergeCell ref="A47:N47"/>
    <x:mergeCell ref="A48:N48"/>
    <x:mergeCell ref="A1:N1"/>
    <x:mergeCell ref="A2:N2"/>
    <x:mergeCell ref="G3:N3"/>
    <x:mergeCell ref="I5:J5"/>
    <x:mergeCell ref="I6:J6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{393A9956-EDB8-3D59-110D-A245EDF1BCA4}</x14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{33DEE8FF-E98A-620E-12BF-369A28736917}</x14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xmlns:x14="http://schemas.microsoft.com/office/spreadsheetml/2009/9/main" uri="{B025F937-C7B1-47D3-B67F-A62EFF666E3E}">
          <x14:id>{0C67B701-4450-BBE9-1208-6DDE839C43C3}</x14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xmlns:x14="http://schemas.microsoft.com/office/spreadsheetml/2009/9/main" uri="{B025F937-C7B1-47D3-B67F-A62EFF666E3E}">
          <x14:id>{90A1B3D9-FFF2-DEFE-C178-01E5A9CB7ECE}</x14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{4A77C89F-F309-8DF5-E1A7-769C5FCEA681}</x14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xmlns:x14="http://schemas.microsoft.com/office/spreadsheetml/2009/9/main" uri="{B025F937-C7B1-47D3-B67F-A62EFF666E3E}">
          <x14:id>{9D3407BA-1134-6F9B-D19F-A613834C2A2D}</x14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xmlns:x14="http://schemas.microsoft.com/office/spreadsheetml/2009/9/main" uri="{B025F937-C7B1-47D3-B67F-A62EFF666E3E}">
          <x14:id>{52C91449-CBC7-ECC4-9FA2-668C83A5804F}</x14:id>
        </x:ext>
      </x:extLst>
    </x:cfRule>
  </x:conditionalFormatting>
  <x:pageMargins left="0.7" right="0.7" top="0.75" bottom="0.75" header="0.3" footer="0.3"/>
  <x:drawing xmlns:r="http://schemas.openxmlformats.org/officeDocument/2006/relationships" r:id="R8d9b1feeed504ee7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6" id="{393A9956-EDB8-3D59-110D-A245EDF1BCA4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B33:E38</xm:sqref>
        </x14:conditionalFormatting>
        <x14:conditionalFormatting>
          <x14:cfRule type="dataBar" priority="12" id="{33DEE8FF-E98A-620E-12BF-369A28736917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B42:F47</xm:sqref>
        </x14:conditionalFormatting>
        <x14:conditionalFormatting>
          <x14:cfRule type="dataBar" priority="17" id="{0C67B701-4450-BBE9-1208-6DDE839C43C3}">
            <x14:dataBar>
              <x14:cfvo type="min"/>
              <x14:cfvo type="max"/>
              <x14:fillColor rgb="FF4E87B8"/>
              <x14:negativeFillColor auto="1"/>
              <x14:axisColor auto="1"/>
            </x14:dataBar>
          </x14:cfRule>
          <xm:sqref>B54:F59</xm:sqref>
        </x14:conditionalFormatting>
        <x14:conditionalFormatting>
          <x14:cfRule type="dataBar" priority="14" id="{90A1B3D9-FFF2-DEFE-C178-01E5A9CB7ECE}">
            <x14:dataBar>
              <x14:cfvo type="min"/>
              <x14:cfvo type="max"/>
              <x14:fillColor rgb="FF1F4E78"/>
              <x14:negativeFillColor auto="1"/>
              <x14:axisColor auto="1"/>
            </x14:dataBar>
          </x14:cfRule>
          <xm:sqref>H10:H15</xm:sqref>
        </x14:conditionalFormatting>
        <x14:conditionalFormatting>
          <x14:cfRule type="dataBar" priority="15" id="{4A77C89F-F309-8DF5-E1A7-769C5FCEA681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M10:M15</xm:sqref>
        </x14:conditionalFormatting>
        <x14:conditionalFormatting>
          <x14:cfRule type="dataBar" priority="20" id="{9D3407BA-1134-6F9B-D19F-A613834C2A2D}">
            <x14:dataBar>
              <x14:cfvo type="min"/>
              <x14:cfvo type="max"/>
              <x14:fillColor rgb="FF5B9BD5"/>
              <x14:negativeFillColor auto="1"/>
              <x14:axisColor auto="1"/>
            </x14:dataBar>
          </x14:cfRule>
          <xm:sqref>B10:G15</xm:sqref>
        </x14:conditionalFormatting>
        <x14:conditionalFormatting>
          <x14:cfRule type="dataBar" priority="22" id="{52C91449-CBC7-ECC4-9FA2-668C83A5804F}">
            <x14:dataBar>
              <x14:cfvo type="min"/>
              <x14:cfvo type="max"/>
              <x14:fillColor rgb="FF5B9BD5"/>
              <x14:negativeFillColor auto="1"/>
              <x14:axisColor auto="1"/>
            </x14:dataBar>
          </x14:cfRule>
          <xm:sqref>B10:M15</xm:sqref>
        </x14:conditionalFormatting>
      </x14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46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COUNTIFS('STC Bank'!$C$9:$C$500,"&lt;&gt;",'STC Bank'!$M$9:$M$500,"&lt;&gt;",'STC Bank'!$B$9:$B$500,"&lt;&gt;Merchant")</x:f>
        <x:v>6</x:v>
      </x:c>
      <x:c r="B5" s="53"/>
      <x:c r="C5" s="53"/>
      <x:c r="D5" s="53"/>
      <x:c r="E5" s="53" t="n">
        <x:f>COUNTIFS('STC Bank'!$C$9:$C$500,"&lt;&gt;",'STC Bank'!$M$9:$M$500,"&lt;&gt;",'STC Bank'!$B$9:$B$500,"&lt;&gt;Merchant",'STC Bank'!$I$9:$I$500,"&lt;&gt;Expired")</x:f>
        <x:v>5</x:v>
      </x:c>
      <x:c r="F5" s="53"/>
      <x:c r="G5" s="53"/>
      <x:c r="H5" s="53"/>
      <x:c r="I5" s="54" t="n">
        <x:f>COUNTIFS('STC Bank'!$C$9:$C$500,"&lt;&gt;",'STC Bank'!$M$9:$M$500,"&lt;&gt;",'STC Bank'!$B$9:$B$500,"&lt;&gt;Merchant",'STC Bank'!$I$9:$I$500,"&lt;&gt;Expired",'STC Bank'!$B$9:$B$500,"Remittance")</x:f>
        <x:v>0</x:v>
      </x:c>
      <x:c r="J5" s="54"/>
      <x:c r="K5" s="54"/>
      <x:c r="L5" s="54"/>
      <x:c r="M5" s="55" t="n">
        <x:f>COUNTIFS('STC Bank'!$C$9:$C$500,"&lt;&gt;",'STC Bank'!$M$9:$M$500,"&lt;&gt;",'STC Bank'!$B$9:$B$500,"Merchant",'STC Bank'!$I$9:$I$500,"&lt;&gt;Expired")</x:f>
        <x:v>8</x:v>
      </x:c>
      <x:c r="N5" s="55"/>
      <x:c r="O5" s="55"/>
      <x:c r="P5" s="55"/>
      <x:c r="Q5" s="53" t="n">
        <x:f>COUNTIFS('STC Bank'!$C$9:$C$500,"&lt;&gt;",'STC Bank'!$M$9:$M$500,"&lt;&gt;",'STC Bank'!$B$9:$B$500,"&lt;&gt;Merchant",'STC Bank'!$I$9:$I$500,"Expiring ≤7 Days")+COUNTIFS('STC Bank'!$C$9:$C$500,"&lt;&gt;",'STC Bank'!$M$9:$M$500,"&lt;&gt;",'STC Bank'!$B$9:$B$500,"&lt;&gt;Merchant",'STC Bank'!$I$9:$I$500,"Expiring 8–30 Days")</x:f>
        <x:v>3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0% International Transaction Fees and Free Cash Withdrawals</x:t>
        </x:is>
      </x:c>
      <x:c r="D9" s="4" t="inlineStr">
        <x:is>
          <x:t xml:space="preserve">0% fees on eligible international POS transactions and free withdrawals from international ATMs.</x:t>
        </x:is>
      </x:c>
      <x:c r="E9" s="5"/>
      <x:c r="F9" s="5" t="n">
        <x:v>46159.0</x:v>
      </x:c>
      <x:c r="G9" s="5" t="n">
        <x:v>46265.0</x:v>
      </x:c>
      <x:c r="H9" s="7" t="n">
        <x:f t="shared" ref="H9:H53" si="1">IF(OR(C9="",G9=""),"",G9-TODAY())</x:f>
        <x:v>25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8–30 Days</x:v>
      </x:c>
      <x:c r="J9" s="4" t="inlineStr">
        <x:is>
          <x:t xml:space="preserve">International POS purchases and international ATM withdrawals</x:t>
        </x:is>
      </x:c>
      <x:c r="K9" s="4" t="inlineStr">
        <x:is>
          <x:t xml:space="preserve">0% international transaction fees and free international ATM withdrawals</x:t>
        </x:is>
      </x:c>
      <x:c r="L9" s="4" t="inlineStr">
        <x:is>
          <x:t xml:space="preserve">STC Bank Visa Classic, Platinum, and Signature debit cards; credit cards excluded</x:t>
        </x:is>
      </x:c>
      <x:c r="M9" s="9" t="str">
        <x:f>IF(C9="","",IF(N9&lt;&gt;"",N9,IF(O9&lt;&gt;"",O9,IF(P9&lt;&gt;"",P9,IF(Q9&lt;&gt;"",Q9,IF(R9&lt;&gt;"",R9,""))))))</x:f>
        <x:v>https://stcbank.com.sa/en/web/guest/w/international-purchases-with-0-fees</x:v>
      </x:c>
      <x:c r="N9" s="4" t="inlineStr">
        <x:is>
          <x:t xml:space="preserve">https://stcbank.com.sa/en/web/guest/w/international-purchases-with-0-fees</x:t>
        </x:is>
      </x:c>
      <x:c r="O9" s="4" t="inlineStr">
        <x:is>
          <x:t xml:space="preserve">https://www.instagram.com/reel/DbJTohBs04q/</x:t>
        </x:is>
      </x:c>
      <x:c r="P9" s="4" t="inlineStr">
        <x:is>
          <x:t xml:space="preserve">https://x.com/stcbank_ksa/status/2071588243682832478</x:t>
        </x:is>
      </x:c>
      <x:c r="Q9" s="63" t="inlineStr">
        <x:is>
          <x:t xml:space="preserve">https://www.facebook.com/share/v/1BoJpH5Xnd/</x:t>
        </x:is>
      </x:c>
      <x:c r="R9" s="63" t="inlineStr">
        <x:is>
          <x:t xml:space="preserve">https://www.tiktok.com/@stcbank_ksa/video/7657549142540979477?is_from_webapp=1&amp;sender_device=pc&amp;web_id=7646835061455799828</x:t>
        </x:is>
      </x:c>
      <x:c r="S9" s="4" t="inlineStr">
        <x:is>
          <x:t xml:space="preserve">0% international POS fee campaign is valid from 17 May to 31 August 2026. International e-commerce purchases are excluded; free withdrawals apply to international ATMs. Digital-wallet purchases are eligible under the official terms.</x:t>
        </x:is>
      </x:c>
      <x:c r="T9" s="5" t="n">
        <x:v>46256.24929005962</x:v>
      </x:c>
      <x:c r="U9" s="35" t="str">
        <x:f t="shared" ref="U9:U53" si="3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Facebook, TikTok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Visa Card Rewards: iPhone 17 Pro and Apple Watch</x:t>
        </x:is>
      </x:c>
      <x:c r="D10" s="4" t="inlineStr">
        <x:is>
          <x:t xml:space="preserve">Monthly iPhone rewards for top spenders and weekly Apple Watch rewards for qualifying purchases.</x:t>
        </x:is>
      </x:c>
      <x:c r="E10" s="5"/>
      <x:c r="F10" s="5"/>
      <x:c r="G10" s="5" t="n">
        <x:v>46254.0</x:v>
      </x:c>
      <x:c r="H10" s="7" t="n">
        <x:f t="shared" si="1">IF(OR(C10="",G10=""),"",G10-TODAY())</x:f>
        <x:v>28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Domestic and international POS and e-commerce purchases</x:t>
        </x:is>
      </x:c>
      <x:c r="K10" s="4" t="inlineStr">
        <x:is>
          <x:t xml:space="preserve">12 iPhone 17 Pro devices and 144 Apple Watches</x:t>
        </x:is>
      </x:c>
      <x:c r="L10" s="4" t="inlineStr">
        <x:is>
          <x:t xml:space="preserve">STC Bank Visa Classic, Platinum, and Signature debit cards; credit cards excluded</x:t>
        </x:is>
      </x:c>
      <x:c r="M10" s="9" t="str">
        <x:f>IF(C10="","",IF(N10&lt;&gt;"",N10,IF(O10&lt;&gt;"",O10,IF(P10&lt;&gt;"",P10,IF(Q10&lt;&gt;"",Q10,IF(R10&lt;&gt;"",R10,""))))))</x:f>
        <x:v>https://stcbank.com.sa/en/web/guest/w/international-purchases-with-0-fees</x:v>
      </x:c>
      <x:c r="N10" s="63" t="inlineStr">
        <x:is>
          <x:t xml:space="preserve">https://stcbank.com.sa/en/web/guest/w/visa_cards_rewards</x:t>
        </x:is>
      </x:c>
      <x:c r="O10" s="4"/>
      <x:c r="P10" s="4"/>
      <x:c r="Q10" s="63"/>
      <x:c r="R10" s="4"/>
      <x:c r="S10" s="4" t="inlineStr">
        <x:is>
          <x:t xml:space="preserve">Campaign applies to Visa payment cards (Classic, Platinum, Signature), digital or physical; credit cards excluded. Monthly iPhone reward requires SAR 4,000 spend and weekly Apple Watch reward requires a SAR 300 qualifying purchase.</x:t>
        </x:is>
      </x:c>
      <x:c r="T10" s="5" t="n">
        <x:v>46240.0</x:v>
      </x:c>
      <x:c r="U10" s="35" t="str">
        <x:f t="shared" si="3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Instagram, X, 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 t="n">
        <x:v>46217.0</x:v>
      </x:c>
      <x:c r="F11" s="5"/>
      <x:c r="G11" s="5"/>
      <x:c r="H11" s="7" t="n">
        <x:f t="shared" si="1">IF(OR(C11="",G11=""),"",G11-TODAY())</x:f>
        <x:v>14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8–30 Days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https://stcbank.com.sa/en/web/guest/w/visa_cards_rewards</x:v>
      </x:c>
      <x:c r="N11" s="63"/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 t="inlineStr">
        <x:is>
      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      </x:is>
      </x:c>
      <x:c r="T11" s="5" t="n">
        <x:v>46240.0</x:v>
      </x:c>
      <x:c r="U11" s="35" t="str">
        <x:f t="shared" si="3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No direct social post verified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Almatar: Up to 10% Off</x:t>
        </x:is>
      </x:c>
      <x:c r="D12" s="4" t="inlineStr">
        <x:is>
          <x:t xml:space="preserve">Discounts on hotel and flight bookings through Almatar.</x:t>
        </x:is>
      </x:c>
      <x:c r="E12" s="5"/>
      <x:c r="F12" s="5"/>
      <x:c r="G12" s="5" t="n">
        <x:v>46752.0</x:v>
      </x:c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Flight and hotel bookings</x:t>
        </x:is>
      </x:c>
      <x:c r="K12" s="4" t="inlineStr">
        <x:is>
          <x:t xml:space="preserve">10% off hotels with STCB10 and 5% off flights with STCB5</x:t>
        </x:is>
      </x:c>
      <x:c r="L12" s="4" t="inlineStr">
        <x:is>
          <x:t xml:space="preserve">All STC Bank cards</x:t>
        </x:is>
      </x:c>
      <x:c r="M12" s="9" t="str">
        <x:f t="shared" si="4">IF(C12="","",IF(N12&lt;&gt;"",N12,IF(O12&lt;&gt;"",O12,IF(P12&lt;&gt;"",P12,IF(Q12&lt;&gt;"",Q12,IF(R12&lt;&gt;"",R12,""))))))</x:f>
        <x:v>https://www.instagram.com/reel/DWots29j8fx/?hl=en</x:v>
      </x:c>
      <x:c r="N12" s="4" t="inlineStr">
        <x:is>
          <x:t xml:space="preserve">https://stcbank.com.sa/en/web/guest/w/almatar-offer</x:t>
        </x:is>
      </x:c>
      <x:c r="O12" s="63" t="inlineStr">
        <x:is>
          <x:t xml:space="preserve">https://www.instagram.com/p/Db26iG0MZfb</x:t>
        </x:is>
      </x:c>
      <x:c r="P12" s="63" t="inlineStr">
        <x:is>
          <x:t xml:space="preserve">https://x.com/stcbank_ksa/status/2086779472485691754</x:t>
        </x:is>
      </x:c>
      <x:c r="Q12" s="63" t="inlineStr">
        <x:is>
          <x:t xml:space="preserve">https://m.facebook.com/stcbank/posts/pfbid02dV78zbGGfp2tvNgfi2pt29CdeamqkL6dbBmzY3abueFmBKSok4LUFNwfa3ZA8K1Jl</x:t>
        </x:is>
      </x:c>
      <x:c r="R12" s="4" t="inlineStr">
        <x:is>
          <x:t xml:space="preserve">https://www.tiktok.com/@stcbank_ksa/video/7672770209576455445</x:t>
        </x:is>
      </x:c>
      <x:c r="S12" s="4" t="inlineStr">
        <x:is>
          <x:t xml:space="preserve">Official page now explicitly states validity through 31 December 2027. Digital-wallet payments are excluded.</x:t>
        </x:is>
      </x:c>
      <x:c r="T12" s="5" t="n">
        <x:v>46256.24929005962</x:v>
      </x:c>
      <x:c r="U12" s="35" t="str">
        <x:f t="shared" si="3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X,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Merchant</x:t>
        </x:is>
      </x:c>
      <x:c r="C13" s="4" t="inlineStr">
        <x:is>
          <x:t xml:space="preserve">Whites: Up to 15% Off</x:t>
        </x:is>
      </x:c>
      <x:c r="D13" s="4" t="inlineStr">
        <x:is>
          <x:t xml:space="preserve">15% off online purchases and 10% off in stores.</x:t>
        </x:is>
      </x:c>
      <x:c r="E13" s="5"/>
      <x:c r="F13" s="5"/>
      <x:c r="G13" s="5" t="n">
        <x:v>46234.0</x:v>
      </x:c>
      <x:c r="H13" s="7" t="n">
        <x:f t="shared" si="1">IF(OR(C13="",G13=""),"",G13-TODAY())</x:f>
        <x:v>512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Beauty and healthcare retail</x:t>
        </x:is>
      </x:c>
      <x:c r="K13" s="4" t="inlineStr">
        <x:is>
          <x:t xml:space="preserve">15% online and 10% in stores; minimum spend SAR 200; maximum discount SAR 100</x:t>
        </x:is>
      </x:c>
      <x:c r="L13" s="4" t="inlineStr">
        <x:is>
          <x:t xml:space="preserve">STC Bank cards</x:t>
        </x:is>
      </x:c>
      <x:c r="M13" s="9" t="str">
        <x:f t="shared" si="4">IF(C13="","",IF(N13&lt;&gt;"",N13,IF(O13&lt;&gt;"",O13,IF(P13&lt;&gt;"",P13,IF(Q13&lt;&gt;"",Q13,IF(R13&lt;&gt;"",R13,""))))))</x:f>
        <x:v>https://stcbank.com.sa/en/web/guest/w/almatar-offer</x:v>
      </x:c>
      <x:c r="N13" s="4" t="inlineStr">
        <x:is>
          <x:t xml:space="preserve">https://stcbank.com.sa/en/web/guest/w/whites-offer</x:t>
        </x:is>
      </x:c>
      <x:c r="O13" s="4"/>
      <x:c r="P13" s="4"/>
      <x:c r="Q13" s="4"/>
      <x:c r="R13" s="4"/>
      <x:c r="S13" s="4" t="inlineStr">
        <x:is>
          <x:t xml:space="preserve">Offer was valid through 31 July 2026 and is now expired.</x:t>
        </x:is>
      </x:c>
      <x:c r="T13" s="5" t="n">
        <x:v>46240.0</x:v>
      </x:c>
      <x:c r="U13" s="35" t="str">
        <x:f t="shared" si="3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No direct social post verified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Merchant</x:t>
        </x:is>
      </x:c>
      <x:c r="C14" s="4" t="inlineStr">
        <x:is>
          <x:t xml:space="preserve">Huawei Device and Accessory Offers</x:t>
        </x:is>
      </x:c>
      <x:c r="D14" s="4" t="inlineStr">
        <x:is>
          <x:t xml:space="preserve">Special prices and selected gifts on eligible Huawei devices and accessories.</x:t>
        </x:is>
      </x:c>
      <x:c r="E14" s="5"/>
      <x:c r="F14" s="5"/>
      <x:c r="G14" s="5" t="n">
        <x:v>46236.0</x:v>
      </x:c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 t="inlineStr">
        <x:is>
          <x:t xml:space="preserve">Electronics purchases</x:t>
        </x:is>
      </x:c>
      <x:c r="K14" s="4" t="inlineStr">
        <x:is>
          <x:t xml:space="preserve">Special prices and gifts on selected devices</x:t>
        </x:is>
      </x:c>
      <x:c r="L14" s="4" t="inlineStr">
        <x:is>
          <x:t xml:space="preserve">STC Bank cards</x:t>
        </x:is>
      </x:c>
      <x:c r="M14" s="9" t="str">
        <x:f t="shared" si="4">IF(C14="","",IF(N14&lt;&gt;"",N14,IF(O14&lt;&gt;"",O14,IF(P14&lt;&gt;"",P14,IF(Q14&lt;&gt;"",Q14,IF(R14&lt;&gt;"",R14,""))))))</x:f>
        <x:v>https://stcbank.com.sa/en/web/guest/w/whites-offer</x:v>
      </x:c>
      <x:c r="N14" s="4" t="inlineStr">
        <x:is>
          <x:t xml:space="preserve">https://stcbank.com.sa/en/web/guest/w/huawei</x:t>
        </x:is>
      </x:c>
      <x:c r="O14" s="4"/>
      <x:c r="P14" s="4"/>
      <x:c r="Q14" s="4"/>
      <x:c r="R14" s="4"/>
      <x:c r="S14" s="4" t="inlineStr">
        <x:is>
          <x:t xml:space="preserve">Offer was valid through 2 August 2026 and is now expired.</x:t>
        </x:is>
      </x:c>
      <x:c r="T14" s="5" t="n">
        <x:v>46240.0</x:v>
      </x:c>
      <x:c r="U14" s="35" t="str">
        <x:f t="shared" si="3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No direct social post verified</x:v>
      </x:c>
    </x:row>
    <x:row r="15" ht="46.650001525878906" customHeight="1">
      <x:c r="A15" s="8" t="n">
        <x:f t="shared" si="0">IF(C15="","",ROW()-8)</x:f>
        <x:v>7</x:v>
      </x:c>
      <x:c r="B15" s="4" t="inlineStr">
        <x:is>
          <x:t xml:space="preserve">Merchant</x:t>
        </x:is>
      </x:c>
      <x:c r="C15" s="4" t="inlineStr">
        <x:is>
          <x:t xml:space="preserve">Loca Beauty: 15% Off</x:t>
        </x:is>
      </x:c>
      <x:c r="D15" s="4" t="inlineStr">
        <x:is>
          <x:t xml:space="preserve">15% off online purchases using promo code STCB15.</x:t>
        </x:is>
      </x:c>
      <x:c r="E15" s="5"/>
      <x:c r="F15" s="5" t="n">
        <x:v>46001.0</x:v>
      </x:c>
      <x:c r="G15" s="5" t="n">
        <x:v>46259.0</x:v>
      </x:c>
      <x:c r="H15" s="7" t="n">
        <x:f t="shared" si="1">IF(OR(C15="",G15=""),"",G15-TODAY())</x:f>
        <x:v>-4</x:v>
      </x:c>
      <x:c r="I15" s="6" t="str">
        <x:f t="shared" si="2">IF(C15="","",IF(G15="","End Date Not Stated",IF(G15&lt;TODAY(),"Expired",IF(G15&lt;=TODAY()+7,"Expiring ≤7 Days",IF(G15&lt;=TODAY()+30,"Expiring 8–30 Days","Active")))))</x:f>
        <x:v>Expired</x:v>
      </x:c>
      <x:c r="J15" s="4" t="inlineStr">
        <x:is>
          <x:t xml:space="preserve">Online beauty purchases</x:t>
        </x:is>
      </x:c>
      <x:c r="K15" s="4" t="inlineStr">
        <x:is>
          <x:t xml:space="preserve">15% discount using code STCB15</x:t>
        </x:is>
      </x:c>
      <x:c r="L15" s="4" t="inlineStr">
        <x:is>
          <x:t xml:space="preserve">STC Bank Visa Classic, Platinum, and Signature cards</x:t>
        </x:is>
      </x:c>
      <x:c r="M15" s="9" t="str">
        <x:f t="shared" si="4">IF(C15="","",IF(N15&lt;&gt;"",N15,IF(O15&lt;&gt;"",O15,IF(P15&lt;&gt;"",P15,IF(Q15&lt;&gt;"",Q15,IF(R15&lt;&gt;"",R15,""))))))</x:f>
        <x:v>https://stcbank.com.sa/en/web/guest/w/huawei</x:v>
      </x:c>
      <x:c r="N15" s="4" t="inlineStr">
        <x:is>
          <x:t xml:space="preserve">https://stcbank.com.sa/en/web/guest/w/loca</x:t>
        </x:is>
      </x:c>
      <x:c r="O15" s="4"/>
      <x:c r="P15" s="4"/>
      <x:c r="Q15" s="4"/>
      <x:c r="R15" s="4"/>
      <x:c r="S15" s="4" t="inlineStr">
        <x:is>
          <x:t xml:space="preserve">Offer is valid through 25 August 2026. Discounted products and digital-wallet payments are excluded.</x:t>
        </x:is>
      </x:c>
      <x:c r="T15" s="5" t="n">
        <x:v>46256.24929005962</x:v>
      </x:c>
      <x:c r="U15" s="35" t="str">
        <x:f t="shared" si="3">IF(C15="","",IF(COUNTA(O15:R15)=0,"No direct social post verified",IF(O15&lt;&gt;"","Instagram","")&amp;IF(AND(O15&lt;&gt;"",OR(P15&lt;&gt;"",Q15&lt;&gt;"",R15&lt;&gt;"")),", ","")&amp;IF(P15&lt;&gt;"","X","")&amp;IF(AND(P15&lt;&gt;"",OR(Q15&lt;&gt;"",R15&lt;&gt;"")),", ","")&amp;IF(Q15&lt;&gt;"","Facebook","")&amp;IF(AND(Q15&lt;&gt;"",R15&lt;&gt;""),", ","")&amp;IF(R15&lt;&gt;"","TikTok","")))</x:f>
        <x:v>No direct social post verified</x:v>
      </x:c>
    </x:row>
    <x:row r="16" ht="46.650001525878906" customHeight="1">
      <x:c r="A16" s="8" t="n">
        <x:f t="shared" si="0">IF(C16="","",ROW()-8)</x:f>
        <x:v>8</x:v>
      </x:c>
      <x:c r="B16" s="4" t="inlineStr">
        <x:is>
          <x:t xml:space="preserve">Merchant</x:t>
        </x:is>
      </x:c>
      <x:c r="C16" s="4" t="inlineStr">
        <x:is>
          <x:t xml:space="preserve">Canton: 15% Off</x:t>
        </x:is>
      </x:c>
      <x:c r="D16" s="4" t="inlineStr">
        <x:is>
          <x:t xml:space="preserve">15% off eligible online purchases using promo code STCB15.</x:t>
        </x:is>
      </x:c>
      <x:c r="E16" s="5"/>
      <x:c r="F16" s="5"/>
      <x:c r="G16" s="5" t="n">
        <x:v>46293.0</x:v>
      </x:c>
      <x:c r="H16" s="7" t="n">
        <x:f t="shared" si="1">IF(OR(C16="",G16=""),"",G16-TODAY())</x:f>
        <x:v>19</x:v>
      </x:c>
      <x:c r="I16" s="6" t="str">
        <x:f t="shared" si="2">IF(C16="","",IF(G16="","End Date Not Stated",IF(G16&lt;TODAY(),"Expired",IF(G16&lt;=TODAY()+7,"Expiring ≤7 Days",IF(G16&lt;=TODAY()+30,"Expiring 8–30 Days","Active")))))</x:f>
        <x:v>Expiring 8–30 Days</x:v>
      </x:c>
      <x:c r="J16" s="4" t="inlineStr">
        <x:is>
          <x:t xml:space="preserve">E-commerce purchases</x:t>
        </x:is>
      </x:c>
      <x:c r="K16" s="4" t="inlineStr">
        <x:is>
          <x:t xml:space="preserve">15% discount using code STCB15</x:t>
        </x:is>
      </x:c>
      <x:c r="L16" s="4" t="inlineStr">
        <x:is>
          <x:t xml:space="preserve">STC Bank Visa Classic, Platinum, and Signature cards</x:t>
        </x:is>
      </x:c>
      <x:c r="M16" s="9" t="str">
        <x:f t="shared" si="4">IF(C16="","",IF(N16&lt;&gt;"",N16,IF(O16&lt;&gt;"",O16,IF(P16&lt;&gt;"",P16,IF(Q16&lt;&gt;"",Q16,IF(R16&lt;&gt;"",R16,""))))))</x:f>
        <x:v>https://stcbank.com.sa/en/web/guest/w/loca</x:v>
      </x:c>
      <x:c r="N16" s="4" t="inlineStr">
        <x:is>
          <x:t xml:space="preserve">https://stcbank.com.sa/en/web/guest/w/canton-offer</x:t>
        </x:is>
      </x:c>
      <x:c r="O16" s="4"/>
      <x:c r="P16" s="4"/>
      <x:c r="Q16" s="4"/>
      <x:c r="R16" s="4"/>
      <x:c r="S16" s="4" t="inlineStr">
        <x:is>
          <x:t xml:space="preserve">Official page explicitly states validity through 28 September 2026.</x:t>
        </x:is>
      </x:c>
      <x:c r="T16" s="5" t="n">
        <x:v>46256.24929005962</x:v>
      </x:c>
      <x:c r="U16" s="35" t="str">
        <x:f t="shared" si="3">IF(C16="","",IF(COUNTA(O16:R16)=0,"No direct social post verified",IF(O16&lt;&gt;"","Instagram","")&amp;IF(AND(O16&lt;&gt;"",OR(P16&lt;&gt;"",Q16&lt;&gt;"",R16&lt;&gt;"")),", ","")&amp;IF(P16&lt;&gt;"","X","")&amp;IF(AND(P16&lt;&gt;"",OR(Q16&lt;&gt;"",R16&lt;&gt;"")),", ","")&amp;IF(Q16&lt;&gt;"","Facebook","")&amp;IF(AND(Q16&lt;&gt;"",R16&lt;&gt;""),", ","")&amp;IF(R16&lt;&gt;"","TikTok","")))</x:f>
        <x:v>No direct social post verified</x:v>
      </x:c>
    </x:row>
    <x:row r="17" ht="46.650001525878906" customHeight="1">
      <x:c r="A17" s="8" t="n">
        <x:f t="shared" si="0">IF(C17="","",ROW()-8)</x:f>
        <x:v>9</x:v>
      </x:c>
      <x:c r="B17" s="4" t="inlineStr">
        <x:is>
          <x:t xml:space="preserve">Merchant</x:t>
        </x:is>
      </x:c>
      <x:c r="C17" s="4" t="inlineStr">
        <x:is>
          <x:t xml:space="preserve">Dr. Nutrition: Up to 10% Off</x:t>
        </x:is>
      </x:c>
      <x:c r="D17" s="4" t="inlineStr">
        <x:is>
          <x:t xml:space="preserve">5% to 10% discounts on selected health and nutrition categories.</x:t>
        </x:is>
      </x:c>
      <x:c r="E17" s="5"/>
      <x:c r="F17" s="5"/>
      <x:c r="G17" s="5" t="n">
        <x:v>46295.0</x:v>
      </x:c>
      <x:c r="H17" s="7" t="n">
        <x:f t="shared" si="1">IF(OR(C17="",G17=""),"",G17-TODAY())</x:f>
        <x:v>53</x:v>
      </x:c>
      <x:c r="I17" s="6" t="str">
        <x:f t="shared" si="2">IF(C17="","",IF(G17="","End Date Not Stated",IF(G17&lt;TODAY(),"Expired",IF(G17&lt;=TODAY()+7,"Expiring ≤7 Days",IF(G17&lt;=TODAY()+30,"Expiring 8–30 Days","Active")))))</x:f>
        <x:v>Active</x:v>
      </x:c>
      <x:c r="J17" s="4" t="inlineStr">
        <x:is>
          <x:t xml:space="preserve">Health and nutrition purchases</x:t>
        </x:is>
      </x:c>
      <x:c r="K17" s="4" t="inlineStr">
        <x:is>
          <x:t xml:space="preserve">5% to 10% discount using code STCB</x:t>
        </x:is>
      </x:c>
      <x:c r="L17" s="4" t="inlineStr">
        <x:is>
          <x:t xml:space="preserve">STC Bank Visa Classic, Platinum, and Signature cards</x:t>
        </x:is>
      </x:c>
      <x:c r="M17" s="9" t="str">
        <x:f t="shared" si="4">IF(C17="","",IF(N17&lt;&gt;"",N17,IF(O17&lt;&gt;"",O17,IF(P17&lt;&gt;"",P17,IF(Q17&lt;&gt;"",Q17,IF(R17&lt;&gt;"",R17,""))))))</x:f>
        <x:v>https://stcbank.com.sa/en/web/guest/w/canton-offer</x:v>
      </x:c>
      <x:c r="N17" s="4" t="inlineStr">
        <x:is>
          <x:t xml:space="preserve">https://stcbank.com.sa/en/web/guest/w/boost-your-health</x:t>
        </x:is>
      </x:c>
      <x:c r="O17" s="4"/>
      <x:c r="P17" s="4"/>
      <x:c r="Q17" s="4"/>
      <x:c r="R17" s="4"/>
      <x:c r="S17" s="4" t="inlineStr">
        <x:is>
          <x:t xml:space="preserve">Official page explicitly states validity through 30 September 2026. Discount code STCB applies.</x:t>
        </x:is>
      </x:c>
      <x:c r="T17" s="5" t="n">
        <x:v>46256.24929005962</x:v>
      </x:c>
      <x:c r="U17" s="35" t="str">
        <x:f t="shared" si="3">IF(C17="","",IF(COUNTA(O17:R17)=0,"No direct social post verified",IF(O17&lt;&gt;"","Instagram","")&amp;IF(AND(O17&lt;&gt;"",OR(P17&lt;&gt;"",Q17&lt;&gt;"",R17&lt;&gt;"")),", ","")&amp;IF(P17&lt;&gt;"","X","")&amp;IF(AND(P17&lt;&gt;"",OR(Q17&lt;&gt;"",R17&lt;&gt;"")),", ","")&amp;IF(Q17&lt;&gt;"","Facebook","")&amp;IF(AND(Q17&lt;&gt;"",R17&lt;&gt;""),", ","")&amp;IF(R17&lt;&gt;"","TikTok","")))</x:f>
        <x:v>No direct social post verified</x:v>
      </x:c>
    </x:row>
    <x:row r="18" ht="46.650001525878906" customHeight="1">
      <x:c r="A18" s="8" t="n">
        <x:f t="shared" si="0">IF(C18="","",ROW()-8)</x:f>
        <x:v>10</x:v>
      </x:c>
      <x:c r="B18" s="4" t="inlineStr">
        <x:is>
          <x:t xml:space="preserve">Merchant</x:t>
        </x:is>
      </x:c>
      <x:c r="C18" s="4" t="inlineStr">
        <x:is>
          <x:t xml:space="preserve">GO Sport: 10% Off</x:t>
        </x:is>
      </x:c>
      <x:c r="D18" s="4" t="inlineStr">
        <x:is>
          <x:t xml:space="preserve">10% off eligible online purchases using promo code STCB.</x:t>
        </x:is>
      </x:c>
      <x:c r="E18" s="5"/>
      <x:c r="F18" s="5"/>
      <x:c r="G18" s="5" t="n">
        <x:v>46295.0</x:v>
      </x:c>
      <x:c r="H18" s="7" t="n">
        <x:f t="shared" si="1">IF(OR(C18="",G18=""),"",G18-TODAY())</x:f>
        <x:v>55</x:v>
      </x:c>
      <x:c r="I18" s="6" t="str">
        <x:f t="shared" si="2">IF(C18="","",IF(G18="","End Date Not Stated",IF(G18&lt;TODAY(),"Expired",IF(G18&lt;=TODAY()+7,"Expiring ≤7 Days",IF(G18&lt;=TODAY()+30,"Expiring 8–30 Days","Active")))))</x:f>
        <x:v>Active</x:v>
      </x:c>
      <x:c r="J18" s="4" t="inlineStr">
        <x:is>
          <x:t xml:space="preserve">Sports retail purchases</x:t>
        </x:is>
      </x:c>
      <x:c r="K18" s="4" t="inlineStr">
        <x:is>
          <x:t xml:space="preserve">10% discount using code STCB</x:t>
        </x:is>
      </x:c>
      <x:c r="L18" s="4" t="inlineStr">
        <x:is>
          <x:t xml:space="preserve">STC Bank Visa Classic, Platinum, and Signature cards</x:t>
        </x:is>
      </x:c>
      <x:c r="M18" s="9" t="str">
        <x:f t="shared" si="4">IF(C18="","",IF(N18&lt;&gt;"",N18,IF(O18&lt;&gt;"",O18,IF(P18&lt;&gt;"",P18,IF(Q18&lt;&gt;"",Q18,IF(R18&lt;&gt;"",R18,""))))))</x:f>
        <x:v>https://stcbank.com.sa/en/web/guest/w/boost-your-health</x:v>
      </x:c>
      <x:c r="N18" s="4" t="inlineStr">
        <x:is>
          <x:t xml:space="preserve">https://stcbank.com.sa/en/web/guest/w/shop-workout-and-save-with-10-off-on-gosport</x:t>
        </x:is>
      </x:c>
      <x:c r="O18" s="4"/>
      <x:c r="P18" s="4"/>
      <x:c r="Q18" s="4"/>
      <x:c r="R18" s="4"/>
      <x:c r="S18" s="4" t="inlineStr">
        <x:is>
          <x:t xml:space="preserve">Official page explicitly states validity through 30 September 2026. Discount code STCB applies.</x:t>
        </x:is>
      </x:c>
      <x:c r="T18" s="5" t="n">
        <x:v>46256.24929005962</x:v>
      </x:c>
      <x:c r="U18" s="35" t="str">
        <x:f t="shared" si="3">IF(C18="","",IF(COUNTA(O18:R18)=0,"No direct social post verified",IF(O18&lt;&gt;"","Instagram","")&amp;IF(AND(O18&lt;&gt;"",OR(P18&lt;&gt;"",Q18&lt;&gt;"",R18&lt;&gt;"")),", ","")&amp;IF(P18&lt;&gt;"","X","")&amp;IF(AND(P18&lt;&gt;"",OR(Q18&lt;&gt;"",R18&lt;&gt;"")),", ","")&amp;IF(Q18&lt;&gt;"","Facebook","")&amp;IF(AND(Q18&lt;&gt;"",R18&lt;&gt;""),", ","")&amp;IF(R18&lt;&gt;"","TikTok","")))</x:f>
        <x:v>No direct social post verified</x:v>
      </x:c>
    </x:row>
    <x:row r="19" ht="46.650001525878906" customHeight="1">
      <x:c r="A19" s="8" t="n">
        <x:f t="shared" si="0">IF(C19="","",ROW()-8)</x:f>
        <x:v>11</x:v>
      </x:c>
      <x:c r="B19" s="4" t="inlineStr">
        <x:is>
          <x:t xml:space="preserve">Merchant</x:t>
        </x:is>
      </x:c>
      <x:c r="C19" s="4" t="inlineStr">
        <x:is>
          <x:t xml:space="preserve">iHerb: Up to 25% Off</x:t>
        </x:is>
      </x:c>
      <x:c r="D19" s="4" t="inlineStr">
        <x:is>
          <x:t xml:space="preserve">Visa discounts for new and existing iHerb customers.</x:t>
        </x:is>
      </x:c>
      <x:c r="E19" s="5"/>
      <x:c r="F19" s="5"/>
      <x:c r="G19" s="5" t="n">
        <x:v>46295.0</x:v>
      </x:c>
      <x:c r="H19" s="7" t="n">
        <x:f t="shared" si="1">IF(OR(C19="",G19=""),"",G19-TODAY())</x:f>
        <x:v>55</x:v>
      </x:c>
      <x:c r="I19" s="6" t="str">
        <x:f t="shared" si="2">IF(C19="","",IF(G19="","End Date Not Stated",IF(G19&lt;TODAY(),"Expired",IF(G19&lt;=TODAY()+7,"Expiring ≤7 Days",IF(G19&lt;=TODAY()+30,"Expiring 8–30 Days","Active")))))</x:f>
        <x:v>Active</x:v>
      </x:c>
      <x:c r="J19" s="4" t="inlineStr">
        <x:is>
          <x:t xml:space="preserve">Health and wellness e-commerce purchases</x:t>
        </x:is>
      </x:c>
      <x:c r="K19" s="4" t="inlineStr">
        <x:is>
          <x:t xml:space="preserve">Up to 25% off for new customers and 10% for existing customers</x:t>
        </x:is>
      </x:c>
      <x:c r="L19" s="4" t="inlineStr">
        <x:is>
          <x:t xml:space="preserve">Eligible STC Bank Visa cards</x:t>
        </x:is>
      </x:c>
      <x:c r="M19" s="9" t="str">
        <x:f t="shared" si="4">IF(C19="","",IF(N19&lt;&gt;"",N19,IF(O19&lt;&gt;"",O19,IF(P19&lt;&gt;"",P19,IF(Q19&lt;&gt;"",Q19,IF(R19&lt;&gt;"",R19,""))))))</x:f>
        <x:v>https://stcbank.com.sa/en/web/guest/w/shop-workout-and-save-with-10-off-on-gosport</x:v>
      </x:c>
      <x:c r="N19" s="4" t="inlineStr">
        <x:is>
          <x:t xml:space="preserve">https://stcbank.com.sa/en/web/guest/w/iherb-offer</x:t>
        </x:is>
      </x:c>
      <x:c r="O19" s="4"/>
      <x:c r="P19" s="4"/>
      <x:c r="Q19" s="4"/>
      <x:c r="R19" s="4"/>
      <x:c r="S19" s="4" t="inlineStr">
        <x:is>
          <x:t xml:space="preserve">Official page explicitly states validity through 30 September 2026.</x:t>
        </x:is>
      </x:c>
      <x:c r="T19" s="5" t="n">
        <x:v>46256.24929005962</x:v>
      </x:c>
      <x:c r="U19" s="35" t="str">
        <x:f t="shared" si="3">IF(C19="","",IF(COUNTA(O19:R19)=0,"No direct social post verified",IF(O19&lt;&gt;"","Instagram","")&amp;IF(AND(O19&lt;&gt;"",OR(P19&lt;&gt;"",Q19&lt;&gt;"",R19&lt;&gt;"")),", ","")&amp;IF(P19&lt;&gt;"","X","")&amp;IF(AND(P19&lt;&gt;"",OR(Q19&lt;&gt;"",R19&lt;&gt;"")),", ","")&amp;IF(Q19&lt;&gt;"","Facebook","")&amp;IF(AND(Q19&lt;&gt;"",R19&lt;&gt;""),", ","")&amp;IF(R19&lt;&gt;"","TikTok","")))</x:f>
        <x:v>No direct social post verified</x:v>
      </x:c>
    </x:row>
    <x:row r="20" ht="46.650001525878906" customHeight="1">
      <x:c r="A20" s="8" t="n">
        <x:f t="shared" si="0">IF(C20="","",ROW()-8)</x:f>
        <x:v>12</x:v>
      </x:c>
      <x:c r="B20" s="4" t="inlineStr">
        <x:is>
          <x:t xml:space="preserve">Merchant</x:t>
        </x:is>
      </x:c>
      <x:c r="C20" s="4" t="inlineStr">
        <x:is>
          <x:t xml:space="preserve">Abdullah Al Othaim Entertainment</x:t>
        </x:is>
      </x:c>
      <x:c r="D20" s="4" t="inlineStr">
        <x:is>
          <x:t xml:space="preserve">Bonus credit and discounts across selected family-entertainment destinations.</x:t>
        </x:is>
      </x:c>
      <x:c r="E20" s="5"/>
      <x:c r="F20" s="5"/>
      <x:c r="G20" s="5" t="n">
        <x:v>46752.0</x:v>
      </x:c>
      <x:c r="H20" s="7" t="n">
        <x:f t="shared" si="1">IF(OR(C20="",G20=""),"",G20-TODAY())</x:f>
        <x:v>55</x:v>
      </x:c>
      <x:c r="I20" s="6" t="str">
        <x:f t="shared" si="2">IF(C20="","",IF(G20="","End Date Not Stated",IF(G20&lt;TODAY(),"Expired",IF(G20&lt;=TODAY()+7,"Expiring ≤7 Days",IF(G20&lt;=TODAY()+30,"Expiring 8–30 Days","Active")))))</x:f>
        <x:v>Active</x:v>
      </x:c>
      <x:c r="J20" s="4" t="inlineStr">
        <x:is>
          <x:t xml:space="preserve">Family entertainment</x:t>
        </x:is>
      </x:c>
      <x:c r="K20" s="4" t="inlineStr">
        <x:is>
          <x:t xml:space="preserve">Bonus credit and discounts ranging from 20% to 30%</x:t>
        </x:is>
      </x:c>
      <x:c r="L20" s="4" t="inlineStr">
        <x:is>
          <x:t xml:space="preserve">All STC Bank cards</x:t>
        </x:is>
      </x:c>
      <x:c r="M20" s="9" t="str">
        <x:f t="shared" si="4">IF(C20="","",IF(N20&lt;&gt;"",N20,IF(O20&lt;&gt;"",O20,IF(P20&lt;&gt;"",P20,IF(Q20&lt;&gt;"",Q20,IF(R20&lt;&gt;"",R20,""))))))</x:f>
        <x:v>https://stcbank.com.sa/en/web/guest/w/iherb-offer</x:v>
      </x:c>
      <x:c r="N20" s="4" t="inlineStr">
        <x:is>
          <x:t xml:space="preserve">https://stcbank.com.sa/en/web/guest/w/%D8%B9%D8%B1%D9%88%D8%B6-%D8%B4%D8%B1%D9%83%D8%A9-%D8%B9%D8%A8%D8%AF%D8%A7%D9%84%D9%84%D9%87-%D8%A7%D9%84%D8%B9%D8%AB%D9%8A%D9%85-%D9%84%D9%84%D8%AA%D8%B1%D9%81%D9%8A%D9%87-%D8%A5%D9%86%D8%B3%D8%AE-</x:t>
        </x:is>
      </x:c>
      <x:c r="O20" s="4" t="inlineStr">
        <x:is>
          <x:t xml:space="preserve">https://www.instagram.com/p/DcB0ZFIMzki</x:t>
        </x:is>
      </x:c>
      <x:c r="P20" s="4" t="inlineStr">
        <x:is>
          <x:t xml:space="preserve">https://x.com/stcbank_ksa/status/2088311932243632579</x:t>
        </x:is>
      </x:c>
      <x:c r="Q20" s="4" t="inlineStr">
        <x:is>
          <x:t xml:space="preserve">https://m.facebook.com/stcbank/posts/pfbid0H6oRPubpmkyLCdZCrMmi3TbAGExfZa8C4jqCBhV5j2WvdE8ymEW6v92zZg4QMw87l</x:t>
        </x:is>
      </x:c>
      <x:c r="R20" s="4"/>
      <x:c r="S20" s="4" t="inlineStr">
        <x:is>
          <x:t xml:space="preserve">Official page now explicitly states validity through 31 December 2027. Offer mechanics vary by Al Othaim Entertainment destination.</x:t>
        </x:is>
      </x:c>
      <x:c r="T20" s="5" t="n">
        <x:v>46256.24929005962</x:v>
      </x:c>
      <x:c r="U20" s="35" t="str">
        <x:f t="shared" si="3">IF(C20="","",IF(COUNTA(O20:R20)=0,"No direct social post verified",IF(O20&lt;&gt;"","Instagram","")&amp;IF(AND(O20&lt;&gt;"",OR(P20&lt;&gt;"",Q20&lt;&gt;"",R20&lt;&gt;"")),", ","")&amp;IF(P20&lt;&gt;"","X","")&amp;IF(AND(P20&lt;&gt;"",OR(Q20&lt;&gt;"",R20&lt;&gt;"")),", ","")&amp;IF(Q20&lt;&gt;"","Facebook","")&amp;IF(AND(Q20&lt;&gt;"",R20&lt;&gt;""),", ","")&amp;IF(R20&lt;&gt;"","TikTok","")))</x:f>
        <x:v>No direct social post verified</x:v>
      </x:c>
    </x:row>
    <x:row r="21" ht="46.650001525878906" customHeight="1">
      <x:c r="A21" s="8" t="n">
        <x:f t="shared" si="0">IF(C21="","",ROW()-8)</x:f>
        <x:v>13</x:v>
      </x:c>
      <x:c r="B21" s="4" t="inlineStr">
        <x:is>
          <x:t xml:space="preserve">Merchant</x:t>
        </x:is>
      </x:c>
      <x:c r="C21" s="4" t="inlineStr">
        <x:is>
          <x:t xml:space="preserve">Yelo: 10% Off</x:t>
        </x:is>
      </x:c>
      <x:c r="D21" s="4" t="inlineStr">
        <x:is>
          <x:t xml:space="preserve">10% off eligible bookings through the Yelo website and app.</x:t>
        </x:is>
      </x:c>
      <x:c r="E21" s="5"/>
      <x:c r="F21" s="5"/>
      <x:c r="G21" s="5" t="n">
        <x:v>46752.0</x:v>
      </x:c>
      <x:c r="H21" s="7" t="n">
        <x:f t="shared" si="1">IF(OR(C21="",G21=""),"",G21-TODAY())</x:f>
        <x:v>512</x:v>
      </x:c>
      <x:c r="I21" s="6" t="str">
        <x:f t="shared" si="2">IF(C21="","",IF(G21="","End Date Not Stated",IF(G21&lt;TODAY(),"Expired",IF(G21&lt;=TODAY()+7,"Expiring ≤7 Days",IF(G21&lt;=TODAY()+30,"Expiring 8–30 Days","Active")))))</x:f>
        <x:v>Active</x:v>
      </x:c>
      <x:c r="J21" s="4" t="inlineStr">
        <x:is>
          <x:t xml:space="preserve">Car rental</x:t>
        </x:is>
      </x:c>
      <x:c r="K21" s="4" t="inlineStr">
        <x:is>
          <x:t xml:space="preserve">10% discount using code STCB1</x:t>
        </x:is>
      </x:c>
      <x:c r="L21" s="4" t="inlineStr">
        <x:is>
          <x:t xml:space="preserve">STC Bank mada and credit cards</x:t>
        </x:is>
      </x:c>
      <x:c r="M21" s="9" t="str">
        <x:f t="shared" si="4">IF(C21="","",IF(N21&lt;&gt;"",N21,IF(O21&lt;&gt;"",O21,IF(P21&lt;&gt;"",P21,IF(Q21&lt;&gt;"",Q21,IF(R21&lt;&gt;"",R21,""))))))</x:f>
        <x:v>https://stcbank.com.sa/en/web/guest/w/alothaim-entertainment</x:v>
      </x:c>
      <x:c r="N21" s="4" t="inlineStr">
        <x:is>
          <x:t xml:space="preserve">https://stcbank.com.sa/en/web/guest/w/yelo</x:t>
        </x:is>
      </x:c>
      <x:c r="O21" s="4"/>
      <x:c r="P21" s="4"/>
      <x:c r="Q21" s="4"/>
      <x:c r="R21" s="4"/>
      <x:c r="S21" s="4" t="inlineStr">
        <x:is>
          <x:t xml:space="preserve">Official page now explicitly states validity through 31 December 2027. Digital-wallet payments are excluded.</x:t>
        </x:is>
      </x:c>
      <x:c r="T21" s="5" t="n">
        <x:v>46256.24929005962</x:v>
      </x:c>
      <x:c r="U21" s="35" t="str">
        <x:f t="shared" si="3">IF(C21="","",IF(COUNTA(O21:R21)=0,"No direct social post verified",IF(O21&lt;&gt;"","Instagram","")&amp;IF(AND(O21&lt;&gt;"",OR(P21&lt;&gt;"",Q21&lt;&gt;"",R21&lt;&gt;"")),", ","")&amp;IF(P21&lt;&gt;"","X","")&amp;IF(AND(P21&lt;&gt;"",OR(Q21&lt;&gt;"",R21&lt;&gt;"")),", ","")&amp;IF(Q21&lt;&gt;"","Facebook","")&amp;IF(AND(Q21&lt;&gt;"",R21&lt;&gt;""),", ","")&amp;IF(R21&lt;&gt;"","TikTok","")))</x:f>
        <x:v>No direct social post verified</x:v>
      </x:c>
    </x:row>
    <x:row r="22" ht="46.650001525878906" customHeight="1">
      <x:c r="A22" s="8" t="n">
        <x:f t="shared" si="0">IF(C22="","",ROW()-8)</x:f>
        <x:v>14</x:v>
      </x:c>
      <x:c r="B22" s="4" t="inlineStr">
        <x:is>
          <x:t xml:space="preserve">Engagement</x:t>
        </x:is>
      </x:c>
      <x:c r="C22" s="4" t="inlineStr">
        <x:is>
          <x:t xml:space="preserve">STC Bank Championship</x:t>
        </x:is>
      </x:c>
      <x:c r="D22" s="4" t="inlineStr">
        <x:is>
          <x:t xml:space="preserve">Daily football quiz campaign with prizes for leading participants.</x:t>
        </x:is>
      </x:c>
      <x:c r="E22" s="5"/>
      <x:c r="F22" s="5" t="n">
        <x:v>46184.0</x:v>
      </x:c>
      <x:c r="G22" s="5" t="n">
        <x:v>46222.0</x:v>
      </x:c>
      <x:c r="H22" s="7" t="n">
        <x:f t="shared" si="1">IF(OR(C22="",G22=""),"",G22-TODAY())</x:f>
        <x:v>512</x:v>
      </x:c>
      <x:c r="I22" s="6" t="str">
        <x:f t="shared" si="2">IF(C22="","",IF(G22="","End Date Not Stated",IF(G22&lt;TODAY(),"Expired",IF(G22&lt;=TODAY()+7,"Expiring ≤7 Days",IF(G22&lt;=TODAY()+30,"Expiring 8–30 Days","Active")))))</x:f>
        <x:v>Active</x:v>
      </x:c>
      <x:c r="J22" s="4" t="inlineStr">
        <x:is>
          <x:t xml:space="preserve">In-app engagement</x:t>
        </x:is>
      </x:c>
      <x:c r="K22" s="4" t="inlineStr">
        <x:is>
          <x:t xml:space="preserve">Daily leaderboard and prizes</x:t>
        </x:is>
      </x:c>
      <x:c r="L22" s="4" t="inlineStr">
        <x:is>
          <x:t xml:space="preserve">STC Bank app customers</x:t>
        </x:is>
      </x:c>
      <x:c r="M22" s="9" t="str">
        <x:f t="shared" si="4">IF(C22="","",IF(N22&lt;&gt;"",N22,IF(O22&lt;&gt;"",O22,IF(P22&lt;&gt;"",P22,IF(Q22&lt;&gt;"",Q22,IF(R22&lt;&gt;"",R22,""))))))</x:f>
        <x:v>https://stcbank.com.sa/en/web/guest/w/yelo</x:v>
      </x:c>
      <x:c r="N22" s="4" t="inlineStr">
        <x:is>
          <x:t xml:space="preserve">https://stcbank.com.sa/en/web/guest/w/stcbank-championship</x:t>
        </x:is>
      </x:c>
      <x:c r="O22" s="4" t="inlineStr">
        <x:is>
          <x:t xml:space="preserve">https://www.instagram.com/reel/DZdT9oVs4pw/?hl=en</x:t>
        </x:is>
      </x:c>
      <x:c r="P22" s="4" t="inlineStr">
        <x:is>
          <x:t xml:space="preserve">https://x.com/stcbank_ksa/status/2065159633942274387</x:t>
        </x:is>
      </x:c>
      <x:c r="Q22" s="4" t="inlineStr">
        <x:is>
          <x:t xml:space="preserve">https://www.facebook.com/share/v/1EMLYL7XMs/</x:t>
        </x:is>
      </x:c>
      <x:c r="R22" s="4" t="inlineStr">
        <x:is>
          <x:t xml:space="preserve">https://www.tiktok.com/@stcbank_ksa/video/7650240341047725333?is_from_webapp=1&amp;sender_device=pc&amp;web_id=7646835061455799828</x:t>
        </x:is>
      </x:c>
      <x:c r="S22" s="4" t="inlineStr">
        <x:is>
      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      </x:is>
      </x:c>
      <x:c r="T22" s="5" t="n">
        <x:v>46240.0</x:v>
      </x:c>
      <x:c r="U22" s="35" t="str">
        <x:f t="shared" si="3">IF(C22="","",IF(COUNTA(O22:R22)=0,"No direct social post verified",IF(O22&lt;&gt;"","Instagram","")&amp;IF(AND(O22&lt;&gt;"",OR(P22&lt;&gt;"",Q22&lt;&gt;"",R22&lt;&gt;"")),", ","")&amp;IF(P22&lt;&gt;"","X","")&amp;IF(AND(P22&lt;&gt;"",OR(Q22&lt;&gt;"",R22&lt;&gt;"")),", ","")&amp;IF(Q22&lt;&gt;"","Facebook","")&amp;IF(AND(Q22&lt;&gt;"",R22&lt;&gt;""),", ","")&amp;IF(R22&lt;&gt;"","TikTok","")))</x:f>
        <x:v>No direct social post verified</x:v>
      </x:c>
    </x:row>
    <x:row r="23" ht="46.650001525878906" customHeight="1">
      <x:c r="A23" s="8" t="n">
        <x:f t="shared" si="0">IF(C23="","",ROW()-8)</x:f>
        <x:v>15</x:v>
      </x:c>
      <x:c r="B23" s="4" t="inlineStr">
        <x:is>
          <x:t xml:space="preserve">Card</x:t>
        </x:is>
      </x:c>
      <x:c r="C23" s="4" t="inlineStr">
        <x:is>
          <x:t xml:space="preserve">Targeted Cash Reward on International Purchases</x:t>
        </x:is>
      </x:c>
      <x:c r="D23" s="4" t="inlineStr">
        <x:is>
          <x:t xml:space="preserve">Selected customers can earn a cash amount after meeting the international-spend requirement stated in an STC Bank SMS.</x:t>
        </x:is>
      </x:c>
      <x:c r="E23" s="5"/>
      <x:c r="F23" s="5"/>
      <x:c r="G23" s="5" t="n">
        <x:v>46297.0</x:v>
      </x:c>
      <x:c r="H23" s="7" t="n">
        <x:f t="shared" si="1">IF(OR(C23="",G23=""),"",G23-TODAY())</x:f>
        <x:v>-18</x:v>
      </x:c>
      <x:c r="I23" s="6" t="str">
        <x:f t="shared" si="2">IF(C23="","",IF(G23="","End Date Not Stated",IF(G23&lt;TODAY(),"Expired",IF(G23&lt;=TODAY()+7,"Expiring ≤7 Days",IF(G23&lt;=TODAY()+30,"Expiring 8–30 Days","Active")))))</x:f>
        <x:v>Expired</x:v>
      </x:c>
      <x:c r="J23" s="4" t="inlineStr">
        <x:is>
          <x:t xml:space="preserve">International POS and e-commerce purchases</x:t>
        </x:is>
      </x:c>
      <x:c r="K23" s="4" t="inlineStr">
        <x:is>
          <x:t xml:space="preserve">Cash amount specified in the customer SMS after meeting the stated minimum spend</x:t>
        </x:is>
      </x:c>
      <x:c r="L23" s="4" t="inlineStr">
        <x:is>
          <x:t xml:space="preserve">Selected customers who received the offer SMS; STC Bank Visa payment cards (Classic, Platinum, Signature), digital or physical</x:t>
        </x:is>
      </x:c>
      <x:c r="M23" s="9" t="str">
        <x:f t="shared" si="4">IF(C23="","",IF(N23&lt;&gt;"",N23,IF(O23&lt;&gt;"",O23,IF(P23&lt;&gt;"",P23,IF(Q23&lt;&gt;"",Q23,IF(R23&lt;&gt;"",R23,""))))))</x:f>
        <x:v>https://stcbank.com.sa/en/web/guest/w/stcbank-championship</x:v>
      </x:c>
      <x:c r="N23" s="4" t="inlineStr">
        <x:is>
          <x:t xml:space="preserve">https://stcbank.com.sa/en/web/guest/w/blt-cash</x:t>
        </x:is>
      </x:c>
      <x:c r="O23" s="4"/>
      <x:c r="P23" s="4"/>
      <x:c r="Q23" s="63"/>
      <x:c r="R23" s="63"/>
      <x:c r="S23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23" s="5" t="n">
        <x:v>46256.24929005962</x:v>
      </x:c>
      <x:c r="U23" s="35" t="str">
        <x:f t="shared" si="3">IF(C23="","",IF(COUNTA(O23:R23)=0,"No direct social post verified",IF(O23&lt;&gt;"","Instagram","")&amp;IF(AND(O23&lt;&gt;"",OR(P23&lt;&gt;"",Q23&lt;&gt;"",R23&lt;&gt;"")),", ","")&amp;IF(P23&lt;&gt;"","X","")&amp;IF(AND(P23&lt;&gt;"",OR(Q23&lt;&gt;"",R23&lt;&gt;"")),", ","")&amp;IF(Q23&lt;&gt;"","Facebook","")&amp;IF(AND(Q23&lt;&gt;"",R23&lt;&gt;""),", ","")&amp;IF(R23&lt;&gt;"","TikTok","")))</x:f>
        <x:v>Instagram, X, Facebook, TikTok</x:v>
      </x:c>
    </x:row>
    <x:row r="24" ht="46.650001525878906" customHeight="1">
      <x:c r="A24" s="8" t="n">
        <x:f t="shared" si="0">IF(C24="","",ROW()-8)</x:f>
        <x:v>16</x:v>
      </x:c>
      <x:c r="B24" s="4" t="inlineStr">
        <x:is>
          <x:t xml:space="preserve">Merchant</x:t>
        </x:is>
      </x:c>
      <x:c r="C24" s="4" t="inlineStr">
        <x:is>
          <x:t xml:space="preserve">10% discount on The Bicester Collection</x:t>
        </x:is>
      </x:c>
      <x:c r="D24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24" s="5"/>
      <x:c r="F24" s="5"/>
      <x:c r="G24" s="5"/>
      <x:c r="H24" s="7" t="n">
        <x:f t="shared" si="1">IF(OR(C24="",G24=""),"",G24-TODAY())</x:f>
        <x:v>57</x:v>
      </x:c>
      <x:c r="I24" s="6" t="str">
        <x:f t="shared" si="2">IF(C24="","",IF(G24="","End Date Not Stated",IF(G24&lt;TODAY(),"Expired",IF(G24&lt;=TODAY()+7,"Expiring ≤7 Days",IF(G24&lt;=TODAY()+30,"Expiring 8–30 Days","Active")))))</x:f>
        <x:v>Active</x:v>
      </x:c>
      <x:c r="J24" s="4"/>
      <x:c r="K24" s="4"/>
      <x:c r="L24" s="4"/>
      <x:c r="M24" s="9" t="str">
        <x:f t="shared" si="4">IF(C24="","",IF(N24&lt;&gt;"",N24,IF(O24&lt;&gt;"",O24,IF(P24&lt;&gt;"",P24,IF(Q24&lt;&gt;"",Q24,IF(R24&lt;&gt;"",R24,""))))))</x:f>
        <x:v>https://stcbank.com.sa/en/web/guest/w/blt-cash</x:v>
      </x:c>
      <x:c r="N24" s="4" t="inlineStr">
        <x:is>
          <x:t xml:space="preserve">https://stcbank.com.sa/en/web/guest/w/the-bicester</x:t>
        </x:is>
      </x:c>
      <x:c r="O24" s="4"/>
      <x:c r="P24" s="4"/>
      <x:c r="Q24" s="4"/>
      <x:c r="R24" s="4"/>
      <x:c r="S24" s="4"/>
      <x:c r="T24" s="5"/>
      <x:c r="U24" s="35" t="str">
        <x:f t="shared" si="3">IF(C24="","",IF(COUNTA(O24:R24)=0,"No direct social post verified",IF(O24&lt;&gt;"","Instagram","")&amp;IF(AND(O24&lt;&gt;"",OR(P24&lt;&gt;"",Q24&lt;&gt;"",R24&lt;&gt;"")),", ","")&amp;IF(P24&lt;&gt;"","X","")&amp;IF(AND(P24&lt;&gt;"",OR(Q24&lt;&gt;"",R24&lt;&gt;"")),", ","")&amp;IF(Q24&lt;&gt;"","Facebook","")&amp;IF(AND(Q24&lt;&gt;"",R24&lt;&gt;""),", ","")&amp;IF(R24&lt;&gt;"","TikTok","")))</x:f>
        <x:v>No direct social post verified</x:v>
      </x:c>
    </x:row>
    <x:row r="25" ht="46.650001525878906" customHeight="1">
      <x:c r="A25" s="8" t="str">
        <x:f t="shared" si="0"/>
      </x:c>
      <x:c r="B25" s="4" t="inlineStr">
        <x:is>
          <x:t xml:space="preserve">Merchant</x:t>
        </x:is>
      </x:c>
      <x:c r="C25" s="4" t="inlineStr">
        <x:is>
          <x:t xml:space="preserve">10% off from GrintaHub</x:t>
        </x:is>
      </x:c>
      <x:c r="D25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4"/>
      </x:c>
      <x:c r="N25" s="4" t="inlineStr">
        <x:is>
          <x:t xml:space="preserve">https://stcbank.com.sa/en/web/guest/w/grintahub</x:t>
        </x:is>
      </x:c>
      <x:c r="O25" s="4"/>
      <x:c r="P25" s="4"/>
      <x:c r="Q25" s="4"/>
      <x:c r="R25" s="4"/>
      <x:c r="S25" s="4"/>
      <x:c r="T25" s="5"/>
      <x:c r="U25" s="35" t="str">
        <x:f t="shared" si="3"/>
      </x:c>
    </x:row>
    <x:row r="26" ht="46.650001525878906" customHeight="1">
      <x:c r="A26" s="8" t="str">
        <x:f t="shared" si="0"/>
      </x:c>
      <x:c r="B26" s="4" t="inlineStr">
        <x:is>
          <x:t xml:space="preserve">Merchant</x:t>
        </x:is>
      </x:c>
      <x:c r="C26" s="4" t="inlineStr">
        <x:is>
          <x:t xml:space="preserve">10% off on perfumes from Golden Scent</x:t>
        </x:is>
      </x:c>
      <x:c r="D26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4"/>
      </x:c>
      <x:c r="N26" s="4" t="inlineStr">
        <x:is>
          <x:t xml:space="preserve">https://stcbank.com.sa/en/web/guest/w/goldenscent</x:t>
        </x:is>
      </x:c>
      <x:c r="O26" s="4"/>
      <x:c r="P26" s="4"/>
      <x:c r="Q26" s="4"/>
      <x:c r="R26" s="4"/>
      <x:c r="S26" s="4"/>
      <x:c r="T26" s="5"/>
      <x:c r="U26" s="35" t="str">
        <x:f t="shared" si="3"/>
      </x:c>
    </x:row>
    <x:row r="27" ht="46.650001525878906" customHeight="1">
      <x:c r="A27" s="8" t="str">
        <x:f t="shared" si="0"/>
      </x:c>
      <x:c r="B27" s="4" t="inlineStr">
        <x:is>
          <x:t xml:space="preserve">Merchant</x:t>
        </x:is>
      </x:c>
      <x:c r="C27" s="4" t="inlineStr">
        <x:is>
          <x:t xml:space="preserve">15% discount from Ladeena</x:t>
        </x:is>
      </x:c>
      <x:c r="D27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4"/>
      </x:c>
      <x:c r="N27" s="4" t="inlineStr">
        <x:is>
          <x:t xml:space="preserve">https://stcbank.com.sa/en/web/guest/w/ladeena</x:t>
        </x:is>
      </x:c>
      <x:c r="O27" s="4"/>
      <x:c r="P27" s="4"/>
      <x:c r="Q27" s="4"/>
      <x:c r="R27" s="4"/>
      <x:c r="S27" s="4"/>
      <x:c r="T27" s="5"/>
      <x:c r="U27" s="35" t="str">
        <x:f t="shared" si="3"/>
      </x:c>
    </x:row>
    <x:row r="28" ht="46.650001525878906" customHeight="1">
      <x:c r="A28" s="8" t="str">
        <x:f t="shared" si="0"/>
      </x:c>
      <x:c r="B28" s="4" t="inlineStr">
        <x:is>
          <x:t xml:space="preserve">Merchant</x:t>
        </x:is>
      </x:c>
      <x:c r="C28" s="4" t="inlineStr">
        <x:is>
          <x:t xml:space="preserve">15% discount from Legoland</x:t>
        </x:is>
      </x:c>
      <x:c r="D28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4"/>
      </x:c>
      <x:c r="N28" s="4" t="inlineStr">
        <x:is>
          <x:t xml:space="preserve">https://stcbank.com.sa/en/web/guest/w/legoland</x:t>
        </x:is>
      </x:c>
      <x:c r="O28" s="4"/>
      <x:c r="P28" s="4"/>
      <x:c r="Q28" s="4"/>
      <x:c r="R28" s="4"/>
      <x:c r="S28" s="4"/>
      <x:c r="T28" s="5"/>
      <x:c r="U28" s="35" t="str">
        <x:f t="shared" si="3"/>
      </x:c>
    </x:row>
    <x:row r="29" ht="46.650001525878906" customHeight="1">
      <x:c r="A29" s="8" t="str">
        <x:f t="shared" si="0"/>
      </x:c>
      <x:c r="B29" s="4" t="inlineStr">
        <x:is>
          <x:t xml:space="preserve">Merchant</x:t>
        </x:is>
      </x:c>
      <x:c r="C29" s="4" t="inlineStr">
        <x:is>
          <x:t xml:space="preserve">15% discount from Madame Tussauds</x:t>
        </x:is>
      </x:c>
      <x:c r="D29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4"/>
      </x:c>
      <x:c r="N29" s="4" t="inlineStr">
        <x:is>
          <x:t xml:space="preserve">https://stcbank.com.sa/en/web/guest/w/madame-tussauds</x:t>
        </x:is>
      </x:c>
      <x:c r="O29" s="4"/>
      <x:c r="P29" s="4"/>
      <x:c r="Q29" s="4"/>
      <x:c r="R29" s="4"/>
      <x:c r="S29" s="4"/>
      <x:c r="T29" s="5"/>
      <x:c r="U29" s="35" t="str">
        <x:f t="shared" si="3"/>
      </x:c>
    </x:row>
    <x:row r="30" ht="46.650001525878906" customHeight="1">
      <x:c r="A30" s="8" t="str">
        <x:f t="shared" si="0"/>
      </x:c>
      <x:c r="B30" s="4" t="inlineStr">
        <x:is>
          <x:t xml:space="preserve">Merchant</x:t>
        </x:is>
      </x:c>
      <x:c r="C30" s="4" t="inlineStr">
        <x:is>
          <x:t xml:space="preserve">15% discount from SQUATWOLF!</x:t>
        </x:is>
      </x:c>
      <x:c r="D30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4"/>
      </x:c>
      <x:c r="N30" s="4" t="inlineStr">
        <x:is>
          <x:t xml:space="preserve">https://stcbank.com.sa/en/web/guest/w/squatwolf</x:t>
        </x:is>
      </x:c>
      <x:c r="O30" s="4"/>
      <x:c r="P30" s="4"/>
      <x:c r="Q30" s="4"/>
      <x:c r="R30" s="4"/>
      <x:c r="S30" s="4"/>
      <x:c r="T30" s="5"/>
      <x:c r="U30" s="35" t="str">
        <x:f t="shared" si="3"/>
      </x:c>
    </x:row>
    <x:row r="31" ht="46.650001525878906" customHeight="1">
      <x:c r="A31" s="8" t="str">
        <x:f t="shared" si="0"/>
      </x:c>
      <x:c r="B31" s="4" t="inlineStr">
        <x:is>
          <x:t xml:space="preserve">Merchant</x:t>
        </x:is>
      </x:c>
      <x:c r="C31" s="4" t="inlineStr">
        <x:is>
          <x:t xml:space="preserve">15% off on London Eye tickets!</x:t>
        </x:is>
      </x:c>
      <x:c r="D31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4"/>
      </x:c>
      <x:c r="N31" s="4" t="inlineStr">
        <x:is>
          <x:t xml:space="preserve">https://stcbank.com.sa/en/web/guest/w/london-eye</x:t>
        </x:is>
      </x:c>
      <x:c r="O31" s="4"/>
      <x:c r="P31" s="4"/>
      <x:c r="Q31" s="4"/>
      <x:c r="R31" s="4"/>
      <x:c r="S31" s="4"/>
      <x:c r="T31" s="5"/>
      <x:c r="U31" s="35" t="str">
        <x:f t="shared" si="3"/>
      </x:c>
    </x:row>
    <x:row r="32" ht="46.650001525878906" customHeight="1">
      <x:c r="A32" s="8" t="str">
        <x:f t="shared" si="0"/>
      </x:c>
      <x:c r="B32" s="4" t="inlineStr">
        <x:is>
          <x:t xml:space="preserve">Merchant</x:t>
        </x:is>
      </x:c>
      <x:c r="C32" s="4" t="inlineStr">
        <x:is>
          <x:t xml:space="preserve">15% off on coffee products from Roasting House</x:t>
        </x:is>
      </x:c>
      <x:c r="D32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4"/>
      </x:c>
      <x:c r="N32" s="4" t="inlineStr">
        <x:is>
          <x:t xml:space="preserve">https://stcbank.com.sa/en/web/guest/w/roasting-house</x:t>
        </x:is>
      </x:c>
      <x:c r="O32" s="4"/>
      <x:c r="P32" s="4"/>
      <x:c r="Q32" s="4"/>
      <x:c r="R32" s="4"/>
      <x:c r="S32" s="4"/>
      <x:c r="T32" s="5"/>
      <x:c r="U32" s="35" t="str">
        <x:f t="shared" si="3"/>
      </x:c>
    </x:row>
    <x:row r="33" ht="46.650001525878906" customHeight="1">
      <x:c r="A33" s="8" t="str">
        <x:f t="shared" si="0"/>
      </x:c>
      <x:c r="B33" s="4" t="inlineStr">
        <x:is>
          <x:t xml:space="preserve">Merchant</x:t>
        </x:is>
      </x:c>
      <x:c r="C33" s="4" t="inlineStr">
        <x:is>
          <x:t xml:space="preserve">20% off with 4 Wheel Station for cars</x:t>
        </x:is>
      </x:c>
      <x:c r="D33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4"/>
      </x:c>
      <x:c r="N33" s="4" t="inlineStr">
        <x:is>
          <x:t xml:space="preserve">https://stcbank.com.sa/en/web/guest/w/4-wheel</x:t>
        </x:is>
      </x:c>
      <x:c r="O33" s="4"/>
      <x:c r="P33" s="4"/>
      <x:c r="Q33" s="4"/>
      <x:c r="R33" s="4"/>
      <x:c r="S33" s="4"/>
      <x:c r="T33" s="5"/>
      <x:c r="U33" s="35" t="str">
        <x:f t="shared" si="3"/>
      </x:c>
    </x:row>
    <x:row r="34" ht="46.650001525878906" customHeight="1">
      <x:c r="A34" s="8" t="str">
        <x:f t="shared" si="0"/>
      </x:c>
      <x:c r="B34" s="4" t="inlineStr">
        <x:is>
          <x:t xml:space="preserve">Merchant</x:t>
        </x:is>
      </x:c>
      <x:c r="C34" s="4" t="inlineStr">
        <x:is>
          <x:t xml:space="preserve">50% off on Ultra Shield car services</x:t>
        </x:is>
      </x:c>
      <x:c r="D34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4"/>
      </x:c>
      <x:c r="N34" s="4" t="inlineStr">
        <x:is>
          <x:t xml:space="preserve">https://stcbank.com.sa/en/web/guest/w/scratches</x:t>
        </x:is>
      </x:c>
      <x:c r="O34" s="4"/>
      <x:c r="P34" s="4"/>
      <x:c r="Q34" s="4"/>
      <x:c r="R34" s="4"/>
      <x:c r="S34" s="4"/>
      <x:c r="T34" s="5"/>
      <x:c r="U34" s="35" t="str">
        <x:f t="shared" si="3"/>
      </x:c>
    </x:row>
    <x:row r="35" ht="46.650001525878906" customHeight="1">
      <x:c r="A35" s="8" t="str">
        <x:f t="shared" si="0"/>
      </x:c>
      <x:c r="B35" s="4" t="inlineStr">
        <x:is>
          <x:t xml:space="preserve">Merchant</x:t>
        </x:is>
      </x:c>
      <x:c r="C35" s="4" t="inlineStr">
        <x:is>
          <x:t xml:space="preserve">75% off on car repair services from MisMar</x:t>
        </x:is>
      </x:c>
      <x:c r="D35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4"/>
      </x:c>
      <x:c r="N35" s="4" t="inlineStr">
        <x:is>
          <x:t xml:space="preserve">https://stcbank.com.sa/en/web/guest/w/cars-replacement</x:t>
        </x:is>
      </x:c>
      <x:c r="O35" s="4"/>
      <x:c r="P35" s="4"/>
      <x:c r="Q35" s="4"/>
      <x:c r="R35" s="4"/>
      <x:c r="S35" s="4"/>
      <x:c r="T35" s="5"/>
      <x:c r="U35" s="35" t="str">
        <x:f t="shared" si="3"/>
      </x:c>
    </x:row>
    <x:row r="36" ht="46.650001525878906" customHeight="1">
      <x:c r="A36" s="8" t="str">
        <x:f t="shared" si="0"/>
      </x:c>
      <x:c r="B36" s="4" t="inlineStr">
        <x:is>
          <x:t xml:space="preserve">Merchant</x:t>
        </x:is>
      </x:c>
      <x:c r="C36" s="4" t="inlineStr">
        <x:is>
          <x:t xml:space="preserve">A Unique Experience at Galeries Lafayette!</x:t>
        </x:is>
      </x:c>
      <x:c r="D36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4"/>
      </x:c>
      <x:c r="N36" s="4" t="inlineStr">
        <x:is>
          <x:t xml:space="preserve">https://stcbank.com.sa/en/web/guest/w/galeries</x:t>
        </x:is>
      </x:c>
      <x:c r="O36" s="4"/>
      <x:c r="P36" s="4"/>
      <x:c r="Q36" s="4"/>
      <x:c r="R36" s="4"/>
      <x:c r="S36" s="4"/>
      <x:c r="T36" s="5"/>
      <x:c r="U36" s="35" t="str">
        <x:f t="shared" si="3"/>
      </x:c>
    </x:row>
    <x:row r="37" ht="46.650001525878906" customHeight="1">
      <x:c r="A37" s="8" t="str">
        <x:f t="shared" si="0"/>
      </x:c>
      <x:c r="B37" s="4" t="inlineStr">
        <x:is>
          <x:t xml:space="preserve">Merchant</x:t>
        </x:is>
      </x:c>
      <x:c r="C37" s="4" t="inlineStr">
        <x:is>
          <x:t xml:space="preserve">A Unique Experience at the Musée du Louvre!</x:t>
        </x:is>
      </x:c>
      <x:c r="D37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4"/>
      </x:c>
      <x:c r="N37" s="4" t="inlineStr">
        <x:is>
          <x:t xml:space="preserve">https://stcbank.com.sa/en/web/guest/w/du-louvre</x:t>
        </x:is>
      </x:c>
      <x:c r="O37" s="4"/>
      <x:c r="P37" s="4"/>
      <x:c r="Q37" s="4"/>
      <x:c r="R37" s="4"/>
      <x:c r="S37" s="4"/>
      <x:c r="T37" s="5"/>
      <x:c r="U37" s="35" t="str">
        <x:f t="shared" si="3"/>
      </x:c>
    </x:row>
    <x:row r="38" ht="46.650001525878906" customHeight="1">
      <x:c r="A38" s="8" t="str">
        <x:f t="shared" si="0"/>
      </x:c>
      <x:c r="B38" s="4" t="inlineStr">
        <x:is>
          <x:t xml:space="preserve">Merchant</x:t>
        </x:is>
      </x:c>
      <x:c r="C38" s="4" t="inlineStr">
        <x:is>
          <x:t xml:space="preserve">A Unique Shopping Experience at La Vallée Village!</x:t>
        </x:is>
      </x:c>
      <x:c r="D38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4"/>
      </x:c>
      <x:c r="N38" s="4" t="inlineStr">
        <x:is>
          <x:t xml:space="preserve">https://stcbank.com.sa/en/web/guest/w/la-vallee</x:t>
        </x:is>
      </x:c>
      <x:c r="O38" s="4"/>
      <x:c r="P38" s="4"/>
      <x:c r="Q38" s="4"/>
      <x:c r="R38" s="4"/>
      <x:c r="S38" s="4"/>
      <x:c r="T38" s="5"/>
      <x:c r="U38" s="35" t="str">
        <x:f t="shared" si="3"/>
      </x:c>
    </x:row>
    <x:row r="39" ht="46.650001525878906" customHeight="1">
      <x:c r="A39" s="8" t="str">
        <x:f t="shared" si="0"/>
      </x:c>
      <x:c r="B39" s="4" t="inlineStr">
        <x:is>
          <x:t xml:space="preserve">Merchant</x:t>
        </x:is>
      </x:c>
      <x:c r="C39" s="4" t="inlineStr">
        <x:is>
          <x:t xml:space="preserve">A luxurious shopping in Printemps Haussmann, Paris</x:t>
        </x:is>
      </x:c>
      <x:c r="D39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4"/>
      </x:c>
      <x:c r="N39" s="4" t="inlineStr">
        <x:is>
          <x:t xml:space="preserve">https://stcbank.com.sa/en/web/guest/w/printemps-haussmann</x:t>
        </x:is>
      </x:c>
      <x:c r="O39" s="4"/>
      <x:c r="P39" s="4"/>
      <x:c r="Q39" s="4"/>
      <x:c r="R39" s="4"/>
      <x:c r="S39" s="4"/>
      <x:c r="T39" s="5"/>
      <x:c r="U39" s="35" t="str">
        <x:f t="shared" si="3"/>
      </x:c>
    </x:row>
    <x:row r="40" ht="46.650001525878906" customHeight="1">
      <x:c r="A40" s="8" t="str">
        <x:f t="shared" si="0"/>
      </x:c>
      <x:c r="B40" s="4" t="inlineStr">
        <x:is>
          <x:t xml:space="preserve">Merchant</x:t>
        </x:is>
      </x:c>
      <x:c r="C40" s="4" t="inlineStr">
        <x:is>
          <x:t xml:space="preserve">Elegance is the essence of Sayyar with a 20% off</x:t>
        </x:is>
      </x:c>
      <x:c r="D40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4"/>
      </x:c>
      <x:c r="N40" s="4" t="inlineStr">
        <x:is>
          <x:t xml:space="preserve">https://stcbank.com.sa/en/web/guest/w/new_sayyar</x:t>
        </x:is>
      </x:c>
      <x:c r="O40" s="4"/>
      <x:c r="P40" s="4"/>
      <x:c r="Q40" s="4"/>
      <x:c r="R40" s="4"/>
      <x:c r="S40" s="4"/>
      <x:c r="T40" s="5"/>
      <x:c r="U40" s="35" t="str">
        <x:f t="shared" si="3"/>
      </x:c>
    </x:row>
    <x:row r="41" ht="46.650001525878906" customHeight="1">
      <x:c r="A41" s="8" t="str">
        <x:f t="shared" si="0"/>
      </x:c>
      <x:c r="B41" s="4" t="inlineStr">
        <x:is>
          <x:t xml:space="preserve">Merchant</x:t>
        </x:is>
      </x:c>
      <x:c r="C41" s="4" t="inlineStr">
        <x:is>
          <x:t xml:space="preserve">Indulge in fine dining around UAE!</x:t>
        </x:is>
      </x:c>
      <x:c r="D41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4"/>
      </x:c>
      <x:c r="N41" s="4" t="inlineStr">
        <x:is>
          <x:t xml:space="preserve">https://stcbank.com.sa/en/web/guest/w/indulge-in-fine-dining-around-uae</x:t>
        </x:is>
      </x:c>
      <x:c r="O41" s="4"/>
      <x:c r="P41" s="4"/>
      <x:c r="Q41" s="4"/>
      <x:c r="R41" s="4"/>
      <x:c r="S41" s="4"/>
      <x:c r="T41" s="5"/>
      <x:c r="U41" s="35" t="str">
        <x:f t="shared" si="3"/>
      </x:c>
    </x:row>
    <x:row r="42" ht="46.650001525878906" customHeight="1">
      <x:c r="A42" s="8" t="str">
        <x:f t="shared" si="0"/>
      </x:c>
      <x:c r="B42" s="4" t="inlineStr">
        <x:is>
          <x:t xml:space="preserve">Merchant</x:t>
        </x:is>
      </x:c>
      <x:c r="C42" s="4" t="inlineStr">
        <x:is>
          <x:t xml:space="preserve">Polish and protect your car with a 20% discount from Dettaglioauto!</x:t>
        </x:is>
      </x:c>
      <x:c r="D42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4"/>
      </x:c>
      <x:c r="N42" s="4" t="inlineStr">
        <x:is>
          <x:t xml:space="preserve">https://stcbank.com.sa/en/web/guest/w/dettaglioauto-offer</x:t>
        </x:is>
      </x:c>
      <x:c r="O42" s="4"/>
      <x:c r="P42" s="4"/>
      <x:c r="Q42" s="4"/>
      <x:c r="R42" s="4"/>
      <x:c r="S42" s="4"/>
      <x:c r="T42" s="5"/>
      <x:c r="U42" s="35" t="str">
        <x:f t="shared" si="3"/>
      </x:c>
    </x:row>
    <x:row r="43" ht="46.650001525878906" customHeight="1">
      <x:c r="A43" s="8" t="str">
        <x:f t="shared" si="0"/>
      </x:c>
      <x:c r="B43" s="4" t="inlineStr">
        <x:is>
          <x:t xml:space="preserve">Merchant</x:t>
        </x:is>
      </x:c>
      <x:c r="C43" s="4" t="inlineStr">
        <x:is>
          <x:t xml:space="preserve">Refresh your space with new plants and enjoy a 15% discount from Nabataty!</x:t>
        </x:is>
      </x:c>
      <x:c r="D43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43" s="5"/>
      <x:c r="F43" s="5"/>
      <x:c r="G43" s="5"/>
      <x:c r="H43" s="7" t="str">
        <x:f t="shared" si="1"/>
      </x:c>
      <x:c r="I43" s="6" t="str">
        <x:f t="shared" si="2"/>
      </x:c>
      <x:c r="J43" s="4"/>
      <x:c r="K43" s="4"/>
      <x:c r="L43" s="4"/>
      <x:c r="M43" s="9" t="str">
        <x:f t="shared" si="4"/>
      </x:c>
      <x:c r="N43" s="4" t="inlineStr">
        <x:is>
          <x:t xml:space="preserve">https://stcbank.com.sa/en/web/guest/w/nabataty</x:t>
        </x:is>
      </x:c>
      <x:c r="O43" s="4"/>
      <x:c r="P43" s="4"/>
      <x:c r="Q43" s="4"/>
      <x:c r="R43" s="4"/>
      <x:c r="S43" s="4"/>
      <x:c r="T43" s="5"/>
      <x:c r="U43" s="35" t="str">
        <x:f t="shared" si="3"/>
      </x:c>
    </x:row>
    <x:row r="44" ht="46.650001525878906" customHeight="1">
      <x:c r="A44" s="8" t="str">
        <x:f t="shared" si="0"/>
      </x:c>
      <x:c r="B44" s="4" t="inlineStr">
        <x:is>
          <x:t xml:space="preserve">Merchant</x:t>
        </x:is>
      </x:c>
      <x:c r="C44" s="4" t="inlineStr">
        <x:is>
          <x:t xml:space="preserve">Sandwich and Juice for 1 Riyal from Dam!</x:t>
        </x:is>
      </x:c>
      <x:c r="D44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44" s="5"/>
      <x:c r="F44" s="5"/>
      <x:c r="G44" s="5"/>
      <x:c r="H44" s="7" t="str">
        <x:f t="shared" si="1"/>
      </x:c>
      <x:c r="I44" s="6" t="str">
        <x:f t="shared" si="2"/>
      </x:c>
      <x:c r="J44" s="4"/>
      <x:c r="K44" s="4"/>
      <x:c r="L44" s="4"/>
      <x:c r="M44" s="9" t="str">
        <x:f t="shared" si="4"/>
      </x:c>
      <x:c r="N44" s="4" t="inlineStr">
        <x:is>
          <x:t xml:space="preserve">https://stcbank.com.sa/en/web/guest/w/%D8%B3%D8%A7%D9%86%D8%AF%D9%88%D9%8A%D8%B4-%D9%88%D8%B9%D8%B5%D9%8A%D8%B1-%D8%A8%D8%B1%D9%8A%D8%A7%D9%84-%D9%85%D9%86-%D8%AF%D8%A7%D9%85</x:t>
        </x:is>
      </x:c>
      <x:c r="O44" s="4"/>
      <x:c r="P44" s="4"/>
      <x:c r="Q44" s="4"/>
      <x:c r="R44" s="4"/>
      <x:c r="S44" s="4"/>
      <x:c r="T44" s="5"/>
      <x:c r="U44" s="35" t="str">
        <x:f t="shared" si="3"/>
      </x:c>
    </x:row>
    <x:row r="45" ht="46.650001525878906" customHeight="1">
      <x:c r="A45" s="8" t="str">
        <x:f t="shared" si="0"/>
      </x:c>
      <x:c r="B45" s="4" t="inlineStr">
        <x:is>
          <x:t xml:space="preserve">Merchant</x:t>
        </x:is>
      </x:c>
      <x:c r="C45" s="4" t="inlineStr">
        <x:is>
          <x:t xml:space="preserve">Valid until 27 Dec 2027 10% off from GrintaHub Enjoy an exclusive 10% off offer on the GrintaHub website and app with all STC Bank cards.</x:t>
        </x:is>
      </x:c>
      <x:c r="D45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45" s="5"/>
      <x:c r="F45" s="5"/>
      <x:c r="G45" s="5"/>
      <x:c r="H45" s="7" t="str">
        <x:f t="shared" si="1"/>
      </x:c>
      <x:c r="I45" s="6" t="str">
        <x:f t="shared" si="2"/>
      </x:c>
      <x:c r="J45" s="4"/>
      <x:c r="K45" s="4"/>
      <x:c r="L45" s="4"/>
      <x:c r="M45" s="9" t="str">
        <x:f t="shared" si="4"/>
      </x:c>
      <x:c r="N45" s="4" t="inlineStr">
        <x:is>
          <x:t xml:space="preserve">https://stcbank.com.sa/en/web/guest/w/%D8%AE%D8%B5%D9%85-10-%D9%85%D9%86-%D8%BA%D8%B1%D9%8A%D9%86%D8%AA%D8%A7%D9%87%D8%A8-%D8%A5%D9%86%D8%B3%D8%AE-7-</x:t>
        </x:is>
      </x:c>
      <x:c r="O45" s="4"/>
      <x:c r="P45" s="4"/>
      <x:c r="Q45" s="4"/>
      <x:c r="R45" s="4"/>
      <x:c r="S45" s="4"/>
      <x:c r="T45" s="5"/>
      <x:c r="U45" s="35" t="str">
        <x:f t="shared" si="3"/>
      </x:c>
    </x:row>
    <x:row r="46" ht="46.650001525878906" customHeight="1">
      <x:c r="A46" s="8" t="str">
        <x:f t="shared" si="0"/>
      </x:c>
      <x:c r="B46" s="4" t="inlineStr">
        <x:is>
          <x:t xml:space="preserve">Merchant</x:t>
        </x:is>
      </x:c>
      <x:c r="C46" s="4" t="inlineStr">
        <x:is>
          <x:t xml:space="preserve">Valid until 7 Aug 2026 Discount up to ⃁ 620 from AliExpress! Get ready for school with a discount of up to ⃁ 620 from AliExpress using STC Bank cards!</x:t>
        </x:is>
      </x:c>
      <x:c r="D46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46" s="5"/>
      <x:c r="F46" s="5"/>
      <x:c r="G46" s="5"/>
      <x:c r="H46" s="7" t="str">
        <x:f t="shared" si="1"/>
      </x:c>
      <x:c r="I46" s="6" t="str">
        <x:f t="shared" si="2"/>
      </x:c>
      <x:c r="J46" s="4"/>
      <x:c r="K46" s="4"/>
      <x:c r="L46" s="4"/>
      <x:c r="M46" s="9" t="str">
        <x:f t="shared" si="4"/>
      </x:c>
      <x:c r="N46" s="4" t="inlineStr">
        <x:is>
          <x:t xml:space="preserve">https://stcbank.com.sa/en/web/guest/w/aliexpress</x:t>
        </x:is>
      </x:c>
      <x:c r="O46" s="4"/>
      <x:c r="P46" s="4"/>
      <x:c r="Q46" s="4"/>
      <x:c r="R46" s="4"/>
      <x:c r="S46" s="4"/>
      <x:c r="T46" s="5"/>
      <x:c r="U46" s="35" t="str">
        <x:f t="shared" si="3"/>
      </x:c>
    </x:row>
    <x:row r="47" ht="46.650001525878906" customHeight="1">
      <x:c r="A47" s="8" t="str">
        <x:f t="shared" si="0"/>
      </x:c>
      <x:c r="B47" s="4" t="inlineStr">
        <x:is>
          <x:t xml:space="preserve">Merchant</x:t>
        </x:is>
      </x:c>
      <x:c r="C47" s="4" t="inlineStr">
        <x:is>
          <x:t xml:space="preserve">Your coffee with 1 Halala!</x:t>
        </x:is>
      </x:c>
      <x:c r="D47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47" s="5"/>
      <x:c r="F47" s="5"/>
      <x:c r="G47" s="5"/>
      <x:c r="H47" s="7" t="str">
        <x:f t="shared" si="1"/>
      </x:c>
      <x:c r="I47" s="6" t="str">
        <x:f t="shared" si="2"/>
      </x:c>
      <x:c r="J47" s="4"/>
      <x:c r="K47" s="4"/>
      <x:c r="L47" s="4"/>
      <x:c r="M47" s="9" t="str">
        <x:f t="shared" si="4"/>
      </x:c>
      <x:c r="N47" s="4" t="inlineStr">
        <x:is>
          <x:t xml:space="preserve">https://stcbank.com.sa/en/web/guest/w/%D9%82%D9%87%D9%88%D8%AA%D9%83-%D8%A8%D9%87%D9%84%D9%84%D8%A9-%D9%85%D9%86-%D8%A8%D9%8A%D8%AA-%D8%A7%D9%84%D8%AA%D8%AD%D9%85%D9%8A%D8%B5-</x:t>
        </x:is>
      </x:c>
      <x:c r="O47" s="4"/>
      <x:c r="P47" s="4"/>
      <x:c r="Q47" s="4"/>
      <x:c r="R47" s="4"/>
      <x:c r="S47" s="4"/>
      <x:c r="T47" s="5"/>
      <x:c r="U47" s="35" t="str">
        <x:f t="shared" si="3"/>
      </x:c>
    </x:row>
    <x:row r="48" ht="46.650001525878906" customHeight="1">
      <x:c r="A48" s="8" t="str">
        <x:f t="shared" si="0"/>
      </x:c>
      <x:c r="B48" s="4"/>
      <x:c r="C48" s="4"/>
      <x:c r="D48" s="4"/>
      <x:c r="E48" s="5"/>
      <x:c r="F48" s="5"/>
      <x:c r="G48" s="5"/>
      <x:c r="H48" s="7" t="str">
        <x:f t="shared" si="1"/>
      </x:c>
      <x:c r="I48" s="6" t="str">
        <x:f t="shared" si="2"/>
      </x:c>
      <x:c r="J48" s="4"/>
      <x:c r="K48" s="4"/>
      <x:c r="L48" s="4"/>
      <x:c r="M48" s="9" t="str">
        <x:f t="shared" si="4"/>
      </x:c>
      <x:c r="N48" s="4"/>
      <x:c r="O48" s="4"/>
      <x:c r="P48" s="4"/>
      <x:c r="Q48" s="4"/>
      <x:c r="R48" s="4"/>
      <x:c r="S48" s="4"/>
      <x:c r="T48" s="5"/>
      <x:c r="U48" s="35" t="str">
        <x:f t="shared" si="3"/>
      </x:c>
    </x:row>
    <x:row r="49" ht="46.650001525878906" customHeight="1">
      <x:c r="A49" s="8" t="str">
        <x:f t="shared" si="0"/>
      </x:c>
      <x:c r="B49" s="4"/>
      <x:c r="C49" s="4"/>
      <x:c r="D49" s="4"/>
      <x:c r="E49" s="5"/>
      <x:c r="F49" s="5"/>
      <x:c r="G49" s="5"/>
      <x:c r="H49" s="7" t="str">
        <x:f t="shared" si="1"/>
      </x:c>
      <x:c r="I49" s="6" t="str">
        <x:f t="shared" si="2"/>
      </x:c>
      <x:c r="J49" s="4"/>
      <x:c r="K49" s="4"/>
      <x:c r="L49" s="4"/>
      <x:c r="M49" s="9" t="str">
        <x:f t="shared" si="4"/>
      </x:c>
      <x:c r="N49" s="4"/>
      <x:c r="O49" s="4"/>
      <x:c r="P49" s="4"/>
      <x:c r="Q49" s="4"/>
      <x:c r="R49" s="4"/>
      <x:c r="S49" s="4"/>
      <x:c r="T49" s="5"/>
      <x:c r="U49" s="35" t="str">
        <x:f t="shared" si="3"/>
      </x:c>
    </x:row>
    <x:row r="50" ht="46.650001525878906" customHeight="1">
      <x:c r="A50" s="8" t="str">
        <x:f t="shared" si="0"/>
      </x:c>
      <x:c r="B50" s="4"/>
      <x:c r="C50" s="4"/>
      <x:c r="D50" s="4"/>
      <x:c r="E50" s="5"/>
      <x:c r="F50" s="5"/>
      <x:c r="G50" s="5"/>
      <x:c r="H50" s="7" t="str">
        <x:f t="shared" si="1"/>
      </x:c>
      <x:c r="I50" s="6" t="str">
        <x:f t="shared" si="2"/>
      </x:c>
      <x:c r="J50" s="4"/>
      <x:c r="K50" s="4"/>
      <x:c r="L50" s="4"/>
      <x:c r="M50" s="9" t="str">
        <x:f t="shared" si="4"/>
      </x:c>
      <x:c r="N50" s="4"/>
      <x:c r="O50" s="4"/>
      <x:c r="P50" s="4"/>
      <x:c r="Q50" s="4"/>
      <x:c r="R50" s="4"/>
      <x:c r="S50" s="4"/>
      <x:c r="T50" s="5"/>
      <x:c r="U50" s="35" t="str">
        <x:f t="shared" si="3"/>
      </x:c>
    </x:row>
    <x:row r="51" ht="46.650001525878906" customHeight="1">
      <x:c r="A51" s="8" t="str">
        <x:f t="shared" si="0"/>
      </x:c>
      <x:c r="B51" s="4"/>
      <x:c r="C51" s="4"/>
      <x:c r="D51" s="4"/>
      <x:c r="E51" s="5"/>
      <x:c r="F51" s="5"/>
      <x:c r="G51" s="5"/>
      <x:c r="H51" s="7" t="str">
        <x:f t="shared" si="1"/>
      </x:c>
      <x:c r="I51" s="6" t="str">
        <x:f t="shared" si="2"/>
      </x:c>
      <x:c r="J51" s="4"/>
      <x:c r="K51" s="4"/>
      <x:c r="L51" s="4"/>
      <x:c r="M51" s="9" t="str">
        <x:f t="shared" si="4"/>
      </x:c>
      <x:c r="N51" s="4"/>
      <x:c r="O51" s="4"/>
      <x:c r="P51" s="4"/>
      <x:c r="Q51" s="4"/>
      <x:c r="R51" s="4"/>
      <x:c r="S51" s="4"/>
      <x:c r="T51" s="5"/>
      <x:c r="U51" s="35" t="str">
        <x:f t="shared" si="3"/>
      </x:c>
    </x:row>
    <x:row r="52" ht="46.650001525878906" customHeight="1">
      <x:c r="A52" s="8" t="str">
        <x:f t="shared" si="0"/>
      </x:c>
      <x:c r="B52" s="4"/>
      <x:c r="C52" s="4"/>
      <x:c r="D52" s="4"/>
      <x:c r="E52" s="5"/>
      <x:c r="F52" s="5"/>
      <x:c r="G52" s="5"/>
      <x:c r="H52" s="7" t="str">
        <x:f t="shared" si="1"/>
      </x:c>
      <x:c r="I52" s="6" t="str">
        <x:f t="shared" si="2"/>
      </x:c>
      <x:c r="J52" s="4"/>
      <x:c r="K52" s="4"/>
      <x:c r="L52" s="4"/>
      <x:c r="M52" s="9" t="str">
        <x:f t="shared" si="4"/>
      </x:c>
      <x:c r="N52" s="4"/>
      <x:c r="O52" s="4"/>
      <x:c r="P52" s="4"/>
      <x:c r="Q52" s="4"/>
      <x:c r="R52" s="4"/>
      <x:c r="S52" s="4"/>
      <x:c r="T52" s="5"/>
      <x:c r="U52" s="35" t="str">
        <x:f t="shared" si="3"/>
      </x:c>
    </x:row>
    <x:row r="53" ht="46.650001525878906" customHeight="1">
      <x:c r="A53" s="8" t="str">
        <x:f t="shared" si="0"/>
      </x:c>
      <x:c r="B53" s="4"/>
      <x:c r="C53" s="4"/>
      <x:c r="D53" s="4"/>
      <x:c r="E53" s="5"/>
      <x:c r="F53" s="5"/>
      <x:c r="G53" s="5"/>
      <x:c r="H53" s="7" t="str">
        <x:f t="shared" si="1"/>
      </x:c>
      <x:c r="I53" s="6" t="str">
        <x:f t="shared" si="2"/>
      </x:c>
      <x:c r="J53" s="4"/>
      <x:c r="K53" s="4"/>
      <x:c r="L53" s="4"/>
      <x:c r="M53" s="9" t="str">
        <x:f t="shared" si="4"/>
      </x:c>
      <x:c r="N53" s="4"/>
      <x:c r="O53" s="4"/>
      <x:c r="P53" s="4"/>
      <x:c r="Q53" s="4"/>
      <x:c r="R53" s="4"/>
      <x:c r="S53" s="4"/>
      <x:c r="T53" s="5"/>
      <x:c r="U53" s="35" t="str">
        <x:f t="shared" si="3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b570c03836c4987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167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COUNTIFS(barq!$C$9:$C$499,"&lt;&gt;",barq!$M$9:$M$499,"&lt;&gt;",barq!$B$9:$B$499,"&lt;&gt;Merchant")</x:f>
        <x:v>5</x:v>
      </x:c>
      <x:c r="B5" s="53"/>
      <x:c r="C5" s="53"/>
      <x:c r="D5" s="53"/>
      <x:c r="E5" s="53" t="n">
        <x:f>COUNTIFS(barq!$C$9:$C$499,"&lt;&gt;",barq!$M$9:$M$499,"&lt;&gt;",barq!$B$9:$B$499,"&lt;&gt;Merchant",barq!$I$9:$I$499,"&lt;&gt;Expired")</x:f>
        <x:v>5</x:v>
      </x:c>
      <x:c r="F5" s="53"/>
      <x:c r="G5" s="53"/>
      <x:c r="H5" s="53"/>
      <x:c r="I5" s="54" t="n">
        <x:f>COUNTIFS(barq!$C$9:$C$499,"&lt;&gt;",barq!$M$9:$M$499,"&lt;&gt;",barq!$B$9:$B$499,"&lt;&gt;Merchant",barq!$I$9:$I$499,"&lt;&gt;Expired",barq!$B$9:$B$499,"Remittance")</x:f>
        <x:v>2</x:v>
      </x:c>
      <x:c r="J5" s="54"/>
      <x:c r="K5" s="54"/>
      <x:c r="L5" s="54"/>
      <x:c r="M5" s="55" t="n">
        <x:f>COUNTIFS(barq!$C$9:$C$499,"&lt;&gt;",barq!$M$9:$M$499,"&lt;&gt;",barq!$B$9:$B$499,"Merchant",barq!$I$9:$I$499,"&lt;&gt;Expired")</x:f>
        <x:v>1</x:v>
      </x:c>
      <x:c r="N5" s="55"/>
      <x:c r="O5" s="55"/>
      <x:c r="P5" s="55"/>
      <x:c r="Q5" s="53" t="n">
        <x:f>COUNTIFS(barq!$C$9:$C$499,"&lt;&gt;",barq!$M$9:$M$499,"&lt;&gt;",barq!$B$9:$B$499,"&lt;&gt;Merchant",barq!$I$9:$I$499,"Expiring ≤7 Days")+COUNTIFS(barq!$C$9:$C$499,"&lt;&gt;",barq!$M$9:$M$499,"&lt;&gt;",barq!$B$9:$B$499,"&lt;&gt;Merchant",barq!$I$9:$I$499,"Expiring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/>
      <x:c r="G9" s="5"/>
      <x:c r="H9" s="7" t="str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/>
      <x:c r="O9" s="63" t="inlineStr">
        <x:is>
          <x:t xml:space="preserve">https://www.instagram.com/reel/DYxvJOWiZY5/</x:t>
        </x:is>
      </x:c>
      <x:c r="P9" s="4" t="inlineStr">
        <x:is>
          <x:t xml:space="preserve">https://x.com/barq/status/2090164035790442589</x:t>
        </x:is>
      </x:c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5" t="n">
        <x:v>46240.0</x:v>
      </x:c>
      <x:c r="U9" s="35" t="str">
        <x:f t="shared" ref="U9:U42" si="3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Engagement</x:t>
        </x:is>
      </x:c>
      <x:c r="C10" s="4" t="inlineStr">
        <x:is>
          <x:t xml:space="preserve">Prediction Game</x:t>
        </x:is>
      </x:c>
      <x:c r="D10" s="4" t="inlineStr">
        <x:is>
          <x:t xml:space="preserve">In-app match prediction game with a prize pool of up to SAR 500,000.</x:t>
        </x:is>
      </x:c>
      <x:c r="E10" s="5"/>
      <x:c r="F10" s="5"/>
      <x:c r="G10" s="5"/>
      <x:c r="H10" s="7" t="str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In-app sports engagement</x:t>
        </x:is>
      </x:c>
      <x:c r="K10" s="4" t="inlineStr">
        <x:is>
          <x:t xml:space="preserve">Prediction game with prizes worth up to SAR 500,000</x:t>
        </x:is>
      </x:c>
      <x:c r="L10" s="4" t="inlineStr">
        <x:is>
          <x:t xml:space="preserve">barq app customers</x:t>
        </x:is>
      </x:c>
      <x:c r="M10" s="9" t="str">
        <x:f t="shared" ref="M10:M42" si="4">IF(C10="","",IF(N10&lt;&gt;"",N10,IF(O10&lt;&gt;"",O10,IF(P10&lt;&gt;"",P10,IF(Q10&lt;&gt;"",Q10,IF(R10&lt;&gt;"",R10,""))))))</x:f>
        <x:v>https://www.facebook.com/usebarq/posts/update-your-barq-app-and-join-the-prediction-game-win-your-share-of-prizes-worth/122197690844385166/</x:v>
      </x:c>
      <x:c r="N10" s="4"/>
      <x:c r="O10" s="4"/>
      <x:c r="P10" s="4"/>
      <x:c r="Q10" s="63" t="inlineStr">
        <x:is>
          <x:t xml:space="preserve">https://www.facebook.com/usebarq/posts/update-your-barq-app-and-join-the-prediction-game-win-your-share-of-prizes-worth/122197690844385166/</x:t>
        </x:is>
      </x:c>
      <x:c r="R10" s="4"/>
      <x:c r="S10" s="4" t="inlineStr">
        <x:is>
          <x:t xml:space="preserve">Campaign end date is not stated in the official post.</x:t>
        </x:is>
      </x:c>
      <x:c r="T10" s="5" t="n">
        <x:v>46240.0</x:v>
      </x:c>
      <x:c r="U10" s="35" t="str">
        <x:f t="shared" si="3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Merchant</x:t>
        </x:is>
      </x:c>
      <x:c r="C11" s="4" t="inlineStr">
        <x:is>
          <x:t xml:space="preserve">Almatar Travel Offer</x:t>
        </x:is>
      </x:c>
      <x:c r="D11" s="4" t="inlineStr">
        <x:is>
          <x:t xml:space="preserve">Discounts on international flights and hotels when paying with barq Visa.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Flight and hotel bookings</x:t>
        </x:is>
      </x:c>
      <x:c r="K11" s="4" t="inlineStr">
        <x:is>
          <x:t xml:space="preserve">Up to 10% off international flights and 25% off hotels</x:t>
        </x:is>
      </x:c>
      <x:c r="L11" s="4" t="inlineStr">
        <x:is>
          <x:t xml:space="preserve">barq Visa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https://www.facebook.com/usebarq/posts/planning-a-trip-%EF%B8%8Fbook-through-almatarapp-with-your-barq-visa-and-get-up-to-10-of/122178668528385166/</x:v>
      </x:c>
      <x:c r="N11" s="4"/>
      <x:c r="O11" s="4"/>
      <x:c r="P11" s="4"/>
      <x:c r="Q11" s="63" t="inlineStr">
        <x:is>
          <x:t xml:space="preserve">https://www.facebook.com/usebarq/posts/planning-a-trip-%EF%B8%8Fbook-through-almatarapp-with-your-barq-visa-and-get-up-to-10-of/122178668528385166/</x:t>
        </x:is>
      </x:c>
      <x:c r="R11" s="4"/>
      <x:c r="S11" s="4" t="inlineStr">
        <x:is>
          <x:t xml:space="preserve">Campaign end date is not stated in the official post.</x:t>
        </x:is>
      </x:c>
      <x:c r="T11" s="5" t="n">
        <x:v>46240.0</x:v>
      </x:c>
      <x:c r="U11" s="35" t="str">
        <x:f t="shared" si="3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/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5" t="n">
        <x:v>46240.0</x:v>
      </x:c>
      <x:c r="U12" s="35" t="str">
        <x:f t="shared" si="3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/>
      <x:c r="G13" s="5"/>
      <x:c r="H13" s="7" t="str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/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5" t="n">
        <x:v>46240.0</x:v>
      </x:c>
      <x:c r="U13" s="35" t="str">
        <x:f t="shared" si="3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X, Facebook, TikTok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Remittance</x:t>
        </x:is>
      </x:c>
      <x:c r="C14" s="4" t="inlineStr">
        <x:is>
          <x:t xml:space="preserve">FX Rate Awareness Campaign</x:t>
        </x:is>
      </x:c>
      <x:c r="D14" s="4"/>
      <x:c r="E14" s="5"/>
      <x:c r="F14" s="5"/>
      <x:c r="G14" s="5"/>
      <x:c r="H14" s="7" t="str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 t="inlineStr">
        <x:is>
          <x:t xml:space="preserve">International transfers / FX rate awareness</x:t>
        </x:is>
      </x:c>
      <x:c r="K14" s="4" t="inlineStr">
        <x:is>
          <x:t xml:space="preserve">All barq customers using international transfers</x:t>
        </x:is>
      </x:c>
      <x:c r="L14" s="4" t="inlineStr">
        <x:is>
          <x:t xml:space="preserve">Educational campaign explaining exchange rates and how they affect the received amount in international transfers.</x:t>
        </x:is>
      </x:c>
      <x:c r="M14" s="9" t="str">
        <x:f t="shared" si="4">IF(C14="","",IF(N14&lt;&gt;"",N14,IF(O14&lt;&gt;"",O14,IF(P14&lt;&gt;"",P14,IF(Q14&lt;&gt;"",Q14,IF(R14&lt;&gt;"",R14,""))))))</x:f>
        <x:v>https://www.instagram.com/reel/DaaydiADUvg/?utm_source=ig_web_button_share_sheet&amp;igsh=MzRlODBiNWFlZA==</x:v>
      </x:c>
      <x:c r="N14" s="4"/>
      <x:c r="O14" s="63" t="inlineStr">
        <x:is>
          <x:t xml:space="preserve">https://www.instagram.com/reel/DaaydiADUvg/?utm_source=ig_web_button_share_sheet&amp;igsh=MzRlODBiNWFlZA==</x:t>
        </x:is>
      </x:c>
      <x:c r="P14" s="4" t="inlineStr">
        <x:is>
          <x:t xml:space="preserve">https://x.com/barq/status/2089363317240332706</x:t>
        </x:is>
      </x:c>
      <x:c r="Q14" s="4"/>
      <x:c r="R14" s="4"/>
      <x:c r="S14" s="4"/>
      <x:c r="T14" s="5" t="n">
        <x:v>46240.0</x:v>
      </x:c>
      <x:c r="U14" s="35" t="str">
        <x:f t="shared" si="3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Instagram</x:v>
      </x:c>
    </x:row>
    <x:row r="15" ht="46.650001525878906" customHeight="1">
      <x:c r="A15" s="8" t="str">
        <x:f t="shared" si="0"/>
      </x:c>
      <x:c r="B15" s="4"/>
      <x:c r="C15" s="4"/>
      <x:c r="D15" s="4"/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4"/>
      </x:c>
      <x:c r="N15" s="4"/>
      <x:c r="O15" s="4"/>
      <x:c r="P15" s="4"/>
      <x:c r="Q15" s="4"/>
      <x:c r="R15" s="4"/>
      <x:c r="S15" s="4"/>
      <x:c r="T15" s="5"/>
      <x:c r="U15" s="35" t="str">
        <x:f t="shared" si="3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4"/>
      </x:c>
      <x:c r="N16" s="4"/>
      <x:c r="O16" s="4"/>
      <x:c r="P16" s="4"/>
      <x:c r="Q16" s="4"/>
      <x:c r="R16" s="4"/>
      <x:c r="S16" s="4"/>
      <x:c r="T16" s="5"/>
      <x:c r="U16" s="35" t="str">
        <x:f t="shared" si="3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4"/>
      </x:c>
      <x:c r="N17" s="4"/>
      <x:c r="O17" s="4"/>
      <x:c r="P17" s="4"/>
      <x:c r="Q17" s="4"/>
      <x:c r="R17" s="4"/>
      <x:c r="S17" s="4"/>
      <x:c r="T17" s="5"/>
      <x:c r="U17" s="35" t="str">
        <x:f t="shared" si="3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4"/>
      </x:c>
      <x:c r="N18" s="4"/>
      <x:c r="O18" s="4"/>
      <x:c r="P18" s="4"/>
      <x:c r="Q18" s="4"/>
      <x:c r="R18" s="4"/>
      <x:c r="S18" s="4"/>
      <x:c r="T18" s="5"/>
      <x:c r="U18" s="35" t="str">
        <x:f t="shared" si="3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4"/>
      </x:c>
      <x:c r="N19" s="4"/>
      <x:c r="O19" s="4"/>
      <x:c r="P19" s="4"/>
      <x:c r="Q19" s="4"/>
      <x:c r="R19" s="4"/>
      <x:c r="S19" s="4"/>
      <x:c r="T19" s="5"/>
      <x:c r="U19" s="35" t="str">
        <x:f t="shared" si="3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4"/>
      </x:c>
      <x:c r="N20" s="4"/>
      <x:c r="O20" s="4"/>
      <x:c r="P20" s="4"/>
      <x:c r="Q20" s="4"/>
      <x:c r="R20" s="4"/>
      <x:c r="S20" s="4"/>
      <x:c r="T20" s="5"/>
      <x:c r="U20" s="35" t="str">
        <x:f t="shared" si="3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4"/>
      </x:c>
      <x:c r="N21" s="4"/>
      <x:c r="O21" s="4"/>
      <x:c r="P21" s="4"/>
      <x:c r="Q21" s="4"/>
      <x:c r="R21" s="4"/>
      <x:c r="S21" s="4"/>
      <x:c r="T21" s="5"/>
      <x:c r="U21" s="35" t="str">
        <x:f t="shared" si="3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4"/>
      </x:c>
      <x:c r="N22" s="4"/>
      <x:c r="O22" s="4"/>
      <x:c r="P22" s="4"/>
      <x:c r="Q22" s="4"/>
      <x:c r="R22" s="4"/>
      <x:c r="S22" s="4"/>
      <x:c r="T22" s="5"/>
      <x:c r="U22" s="35" t="str">
        <x:f t="shared" si="3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4"/>
      </x:c>
      <x:c r="N23" s="4"/>
      <x:c r="O23" s="4"/>
      <x:c r="P23" s="4"/>
      <x:c r="Q23" s="4"/>
      <x:c r="R23" s="4"/>
      <x:c r="S23" s="4"/>
      <x:c r="T23" s="5"/>
      <x:c r="U23" s="35" t="str">
        <x:f t="shared" si="3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4"/>
      </x:c>
      <x:c r="N24" s="4"/>
      <x:c r="O24" s="4"/>
      <x:c r="P24" s="4"/>
      <x:c r="Q24" s="4"/>
      <x:c r="R24" s="4"/>
      <x:c r="S24" s="4"/>
      <x:c r="T24" s="5"/>
      <x:c r="U24" s="35" t="str">
        <x:f t="shared" si="3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4"/>
      </x:c>
      <x:c r="N25" s="4"/>
      <x:c r="O25" s="4"/>
      <x:c r="P25" s="4"/>
      <x:c r="Q25" s="4"/>
      <x:c r="R25" s="4"/>
      <x:c r="S25" s="4"/>
      <x:c r="T25" s="5"/>
      <x:c r="U25" s="35" t="str">
        <x:f t="shared" si="3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4"/>
      </x:c>
      <x:c r="N26" s="4"/>
      <x:c r="O26" s="4"/>
      <x:c r="P26" s="4"/>
      <x:c r="Q26" s="4"/>
      <x:c r="R26" s="4"/>
      <x:c r="S26" s="4"/>
      <x:c r="T26" s="5"/>
      <x:c r="U26" s="35" t="str">
        <x:f t="shared" si="3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4"/>
      </x:c>
      <x:c r="N27" s="4"/>
      <x:c r="O27" s="4"/>
      <x:c r="P27" s="4"/>
      <x:c r="Q27" s="4"/>
      <x:c r="R27" s="4"/>
      <x:c r="S27" s="4"/>
      <x:c r="T27" s="5"/>
      <x:c r="U27" s="35" t="str">
        <x:f t="shared" si="3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4"/>
      </x:c>
      <x:c r="N28" s="4"/>
      <x:c r="O28" s="4"/>
      <x:c r="P28" s="4"/>
      <x:c r="Q28" s="4"/>
      <x:c r="R28" s="4"/>
      <x:c r="S28" s="4"/>
      <x:c r="T28" s="5"/>
      <x:c r="U28" s="35" t="str">
        <x:f t="shared" si="3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4"/>
      </x:c>
      <x:c r="N29" s="4"/>
      <x:c r="O29" s="4"/>
      <x:c r="P29" s="4"/>
      <x:c r="Q29" s="4"/>
      <x:c r="R29" s="4"/>
      <x:c r="S29" s="4"/>
      <x:c r="T29" s="5"/>
      <x:c r="U29" s="35" t="str">
        <x:f t="shared" si="3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4"/>
      </x:c>
      <x:c r="N30" s="4"/>
      <x:c r="O30" s="4"/>
      <x:c r="P30" s="4"/>
      <x:c r="Q30" s="4"/>
      <x:c r="R30" s="4"/>
      <x:c r="S30" s="4"/>
      <x:c r="T30" s="5"/>
      <x:c r="U30" s="35" t="str">
        <x:f t="shared" si="3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4"/>
      </x:c>
      <x:c r="N31" s="4"/>
      <x:c r="O31" s="4"/>
      <x:c r="P31" s="4"/>
      <x:c r="Q31" s="4"/>
      <x:c r="R31" s="4"/>
      <x:c r="S31" s="4"/>
      <x:c r="T31" s="5"/>
      <x:c r="U31" s="35" t="str">
        <x:f t="shared" si="3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4"/>
      </x:c>
      <x:c r="N32" s="4"/>
      <x:c r="O32" s="4"/>
      <x:c r="P32" s="4"/>
      <x:c r="Q32" s="4"/>
      <x:c r="R32" s="4"/>
      <x:c r="S32" s="4"/>
      <x:c r="T32" s="5"/>
      <x:c r="U32" s="35" t="str">
        <x:f t="shared" si="3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4"/>
      </x:c>
      <x:c r="N33" s="4"/>
      <x:c r="O33" s="4"/>
      <x:c r="P33" s="4"/>
      <x:c r="Q33" s="4"/>
      <x:c r="R33" s="4"/>
      <x:c r="S33" s="4"/>
      <x:c r="T33" s="5"/>
      <x:c r="U33" s="35" t="str">
        <x:f t="shared" si="3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4"/>
      </x:c>
      <x:c r="N34" s="4"/>
      <x:c r="O34" s="4"/>
      <x:c r="P34" s="4"/>
      <x:c r="Q34" s="4"/>
      <x:c r="R34" s="4"/>
      <x:c r="S34" s="4"/>
      <x:c r="T34" s="5"/>
      <x:c r="U34" s="35" t="str">
        <x:f t="shared" si="3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4"/>
      </x:c>
      <x:c r="N35" s="4"/>
      <x:c r="O35" s="4"/>
      <x:c r="P35" s="4"/>
      <x:c r="Q35" s="4"/>
      <x:c r="R35" s="4"/>
      <x:c r="S35" s="4"/>
      <x:c r="T35" s="5"/>
      <x:c r="U35" s="35" t="str">
        <x:f t="shared" si="3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4"/>
      </x:c>
      <x:c r="N36" s="4"/>
      <x:c r="O36" s="4"/>
      <x:c r="P36" s="4"/>
      <x:c r="Q36" s="4"/>
      <x:c r="R36" s="4"/>
      <x:c r="S36" s="4"/>
      <x:c r="T36" s="5"/>
      <x:c r="U36" s="35" t="str">
        <x:f t="shared" si="3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4"/>
      </x:c>
      <x:c r="N37" s="4"/>
      <x:c r="O37" s="4"/>
      <x:c r="P37" s="4"/>
      <x:c r="Q37" s="4"/>
      <x:c r="R37" s="4"/>
      <x:c r="S37" s="4"/>
      <x:c r="T37" s="5"/>
      <x:c r="U37" s="35" t="str">
        <x:f t="shared" si="3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4"/>
      </x:c>
      <x:c r="N38" s="4"/>
      <x:c r="O38" s="4"/>
      <x:c r="P38" s="4"/>
      <x:c r="Q38" s="4"/>
      <x:c r="R38" s="4"/>
      <x:c r="S38" s="4"/>
      <x:c r="T38" s="5"/>
      <x:c r="U38" s="35" t="str">
        <x:f t="shared" si="3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4"/>
      </x:c>
      <x:c r="N39" s="4"/>
      <x:c r="O39" s="4"/>
      <x:c r="P39" s="4"/>
      <x:c r="Q39" s="4"/>
      <x:c r="R39" s="4"/>
      <x:c r="S39" s="4"/>
      <x:c r="T39" s="5"/>
      <x:c r="U39" s="35" t="str">
        <x:f t="shared" si="3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4"/>
      </x:c>
      <x:c r="N40" s="4"/>
      <x:c r="O40" s="4"/>
      <x:c r="P40" s="4"/>
      <x:c r="Q40" s="4"/>
      <x:c r="R40" s="4"/>
      <x:c r="S40" s="4"/>
      <x:c r="T40" s="5"/>
      <x:c r="U40" s="35" t="str">
        <x:f t="shared" si="3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4"/>
      </x:c>
      <x:c r="N41" s="4"/>
      <x:c r="O41" s="4"/>
      <x:c r="P41" s="4"/>
      <x:c r="Q41" s="4"/>
      <x:c r="R41" s="4"/>
      <x:c r="S41" s="4"/>
      <x:c r="T41" s="5"/>
      <x:c r="U41" s="35" t="str">
        <x:f t="shared" si="3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4"/>
      </x:c>
      <x:c r="N42" s="4"/>
      <x:c r="O42" s="4"/>
      <x:c r="P42" s="4"/>
      <x:c r="Q42" s="4"/>
      <x:c r="R42" s="4"/>
      <x:c r="S42" s="4"/>
      <x:c r="T42" s="5"/>
      <x:c r="U42" s="35" t="str">
        <x:f t="shared" si="3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cef492c71ff4799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203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COUNTIFS('Mobily Pay'!$C$9:$C$500,"&lt;&gt;",'Mobily Pay'!$M$9:$M$500,"&lt;&gt;",'Mobily Pay'!$B$9:$B$500,"&lt;&gt;Merchant")</x:f>
        <x:v>5</x:v>
      </x:c>
      <x:c r="B5" s="53"/>
      <x:c r="C5" s="53"/>
      <x:c r="D5" s="53"/>
      <x:c r="E5" s="53" t="n">
        <x:f>COUNTIFS('Mobily Pay'!$C$9:$C$500,"&lt;&gt;",'Mobily Pay'!$M$9:$M$500,"&lt;&gt;",'Mobily Pay'!$B$9:$B$500,"&lt;&gt;Merchant",'Mobily Pay'!$I$9:$I$500,"&lt;&gt;Expired")</x:f>
        <x:v>3</x:v>
      </x:c>
      <x:c r="F5" s="53"/>
      <x:c r="G5" s="53"/>
      <x:c r="H5" s="53"/>
      <x:c r="I5" s="54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J5" s="54"/>
      <x:c r="K5" s="54"/>
      <x:c r="L5" s="54"/>
      <x:c r="M5" s="55" t="n">
        <x:f>COUNTIFS('Mobily Pay'!$C$9:$C$500,"&lt;&gt;",'Mobily Pay'!$M$9:$M$500,"&lt;&gt;",'Mobily Pay'!$B$9:$B$500,"Merchant",'Mobily Pay'!$I$9:$I$500,"&lt;&gt;Expired")</x:f>
        <x:v>1</x:v>
      </x:c>
      <x:c r="N5" s="55"/>
      <x:c r="O5" s="55"/>
      <x:c r="P5" s="55"/>
      <x:c r="Q5" s="53" t="n">
        <x:f>COUNTIFS('Mobily Pay'!$C$9:$C$500,"&lt;&gt;",'Mobily Pay'!$M$9:$M$500,"&lt;&gt;",'Mobily Pay'!$B$9:$B$500,"&lt;&gt;Merchant",'Mobily Pay'!$I$9:$I$500,"Expiring ≤7 Days")+COUNTIFS('Mobily Pay'!$C$9:$C$500,"&lt;&gt;",'Mobily Pay'!$M$9:$M$500,"&lt;&gt;",'Mobily Pay'!$B$9:$B$500,"&lt;&gt;Merchant",'Mobily Pay'!$I$9:$I$500,"Expiring 8–30 Days")</x:f>
        <x:v>1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Prize Draw – SAR 110,000</x:t>
        </x:is>
      </x:c>
      <x:c r="D9" s="4" t="inlineStr">
        <x:is>
          <x:t xml:space="preserve">Each qualifying international transfer of SAR 1,000 or more entered a daily draw; 110 customers won SAR 1,000 each.</x:t>
        </x:is>
      </x:c>
      <x:c r="E9" s="5"/>
      <x:c r="F9" s="5" t="n">
        <x:v>46188.0</x:v>
      </x:c>
      <x:c r="G9" s="5" t="n">
        <x:v>46209.0</x:v>
      </x:c>
      <x:c r="H9" s="7" t="n">
        <x:f t="shared" ref="H9:H42" si="1">IF(OR(C9="",G9=""),"",G9-TODAY())</x:f>
        <x:v>-31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Expired</x:v>
      </x:c>
      <x:c r="J9" s="4" t="inlineStr">
        <x:is>
          <x:t xml:space="preserve">International transfers</x:t>
        </x:is>
      </x:c>
      <x:c r="K9" s="4" t="inlineStr">
        <x:is>
          <x:t xml:space="preserve">Five daily winners; SAR 1,000 per winner; 110 total winners and SAR 110,000 total prize pool</x:t>
        </x:is>
      </x:c>
      <x:c r="L9" s="4" t="inlineStr">
        <x:is>
          <x:t xml:space="preserve">Mobily Pay customers making international transfers of SAR 1,000 or more</x:t>
        </x:is>
      </x:c>
      <x:c r="M9" s="9" t="str">
        <x:f t="shared" ref="M9:M42" si="3">IF(C9="","",IF(N9&lt;&gt;"",N9,IF(O9&lt;&gt;"",O9,IF(P9&lt;&gt;"",P9,IF(Q9&lt;&gt;"",Q9,IF(R9&lt;&gt;"",R9,""))))))</x:f>
        <x:v>https://mobilypay.sa/ar/offers/offer-51.html</x:v>
      </x:c>
      <x:c r="N9" s="63" t="inlineStr">
        <x:is>
          <x:t xml:space="preserve">https://mobilypay.sa/ar/offers/offer-51.html</x:t>
        </x:is>
      </x:c>
      <x:c r="O9" s="63" t="inlineStr">
        <x:is>
          <x:t xml:space="preserve">https://www.instagram.com/p/DaVcH86Euq7/</x:t>
        </x:is>
      </x:c>
      <x:c r="P9" s="63" t="inlineStr">
        <x:is>
          <x:t xml:space="preserve">https://x.com/MobilyPay/status/2066845533692707064</x:t>
        </x:is>
      </x:c>
      <x:c r="Q9" s="63" t="inlineStr">
        <x:is>
          <x:t xml:space="preserve">https://www.facebook.com/share/p/14qaPGWCJRZ/</x:t>
        </x:is>
      </x:c>
      <x:c r="R9" s="4"/>
      <x:c r="S9" s="4" t="inlineStr">
        <x:is>
          <x:t xml:space="preserve">Campaign ran from 15 June to 6 July 2026 and is now expired. Cancelled or refunded transfers were excluded.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Zero-Fee International Transfers – Aug–Oct 2026</x:t>
        </x:is>
      </x:c>
      <x:c r="D10" s="4" t="inlineStr">
        <x:is>
          <x:t xml:space="preserve">Qualifying international transfers are offered with zero transfer fees under corridor and amount thresholds stated on the official campaign page.</x:t>
        </x:is>
      </x:c>
      <x:c r="E10" s="5"/>
      <x:c r="F10" s="5" t="n">
        <x:v>46235.0</x:v>
      </x:c>
      <x:c r="G10" s="5" t="n">
        <x:v>46326.0</x:v>
      </x:c>
      <x:c r="H10" s="7" t="n">
        <x:f t="shared" si="1">IF(OR(C10="",G10=""),"",G10-TODAY())</x:f>
        <x:v>86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International transfers through MoneyGram</x:t>
        </x:is>
      </x:c>
      <x:c r="K10" s="4" t="inlineStr">
        <x:is>
          <x:t xml:space="preserve">Zero transfer fees on qualifying transfers; standard SAR 9 fees apply below certain corridor/amount thresholds</x:t>
        </x:is>
      </x:c>
      <x:c r="L10" s="4" t="inlineStr">
        <x:is>
          <x:t xml:space="preserve">Mobily Pay customers; corridor, currency, amount threshold, VAT and MoneyGram terms apply</x:t>
        </x:is>
      </x:c>
      <x:c r="M10" s="9" t="str">
        <x:f t="shared" si="3">IF(C10="","",IF(N10&lt;&gt;"",N10,IF(O10&lt;&gt;"",O10,IF(P10&lt;&gt;"",P10,IF(Q10&lt;&gt;"",Q10,IF(R10&lt;&gt;"",R10,""))))))</x:f>
        <x:v>https://mobilypay.sa/ar/offers/offer-56.html</x:v>
      </x:c>
      <x:c r="N10" s="4" t="inlineStr">
        <x:is>
          <x:t xml:space="preserve">https://mobilypay.sa/ar/offers/offer-56.html</x:t>
        </x:is>
      </x:c>
      <x:c r="O10" s="63" t="inlineStr">
        <x:is>
          <x:t xml:space="preserve">https://www.instagram.com/reel/DZuhOEDFRNn/</x:t>
        </x:is>
      </x:c>
      <x:c r="P10" s="4" t="inlineStr">
        <x:is>
          <x:t xml:space="preserve">https://x.com/MobilyPay/status/2086788382236057787</x:t>
        </x:is>
      </x:c>
      <x:c r="Q10" s="63" t="inlineStr">
        <x:is>
          <x:t xml:space="preserve">https://www.facebook.com/mobilypay/videos/transfer-now/829680072943900/</x:t>
        </x:is>
      </x:c>
      <x:c r="R10" s="4"/>
      <x:c r="S10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0" s="5" t="n">
        <x:v>46256.24929005962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Instagram, 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Weekly International Transfer Prizes – Up to SAR 20,000</x:t>
        </x:is>
      </x:c>
      <x:c r="D11" s="4" t="inlineStr">
        <x:is>
          <x:t xml:space="preserve">International transfers generate entries for weekly prizes of up to SAR 20,000.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transfers</x:t>
        </x:is>
      </x:c>
      <x:c r="K11" s="4" t="inlineStr">
        <x:is>
          <x:t xml:space="preserve">Weekly prizes up to SAR 20,000; no minimum transfer stated in the post</x:t>
        </x:is>
      </x:c>
      <x:c r="L11" s="4" t="inlineStr">
        <x:is>
          <x:t xml:space="preserve">Mobily Pay international-transfer customers</x:t>
        </x:is>
      </x:c>
      <x:c r="M11" s="9" t="str">
        <x:f t="shared" si="3">IF(C11="","",IF(N11&lt;&gt;"",N11,IF(O11&lt;&gt;"",O11,IF(P11&lt;&gt;"",P11,IF(Q11&lt;&gt;"",Q11,IF(R11&lt;&gt;"",R11,""))))))</x:f>
        <x:v>https://www.facebook.com/mobilypay/videos/sar-20000-is-waiting-for-you-make-an-international-transfer-with-mobilypay-and-i/4300117560266135/</x:v>
      </x:c>
      <x:c r="N11" s="4"/>
      <x:c r="O11" s="4"/>
      <x:c r="P11" s="4"/>
      <x:c r="Q11" s="63" t="inlineStr">
        <x:is>
          <x:t xml:space="preserve">https://www.facebook.com/mobilypay/videos/sar-20000-is-waiting-for-you-make-an-international-transfer-with-mobilypay-and-i/4300117560266135/</x:t>
        </x:is>
      </x:c>
      <x:c r="R11" s="4"/>
      <x:c r="S11" s="4" t="inlineStr">
        <x:is>
          <x:t xml:space="preserve">Campaign end date is not stated in the official video.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Alpha Medical Laboratories: 50% Off</x:t>
        </x:is>
      </x:c>
      <x:c r="D12" s="4" t="inlineStr">
        <x:is>
          <x:t xml:space="preserve">50% off individual laboratory tests.</x:t>
        </x:is>
      </x:c>
      <x:c r="E12" s="5"/>
      <x:c r="F12" s="5" t="n">
        <x:v>45505.0</x:v>
      </x:c>
      <x:c r="G12" s="5" t="n">
        <x:v>46387.0</x:v>
      </x:c>
      <x:c r="H12" s="7" t="n">
        <x:f t="shared" si="1">IF(OR(C12="",G12=""),"",G12-TODAY())</x:f>
        <x:v>147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 t="inlineStr">
        <x:is>
          <x:t xml:space="preserve">Healthcare and laboratory services</x:t>
        </x:is>
      </x:c>
      <x:c r="K12" s="4" t="inlineStr">
        <x:is>
          <x:t xml:space="preserve">50% discount on individual laboratory tests</x:t>
        </x:is>
      </x:c>
      <x:c r="L12" s="4" t="inlineStr">
        <x:is>
          <x:t xml:space="preserve">Mobily Pay Platinum and Signature cards</x:t>
        </x:is>
      </x:c>
      <x:c r="M12" s="9" t="str">
        <x:f t="shared" si="3">IF(C12="","",IF(N12&lt;&gt;"",N12,IF(O12&lt;&gt;"",O12,IF(P12&lt;&gt;"",P12,IF(Q12&lt;&gt;"",Q12,IF(R12&lt;&gt;"",R12,""))))))</x:f>
        <x:v>https://mobilypay.sa/offer-details.html?id=offer-6</x:v>
      </x:c>
      <x:c r="N12" s="4" t="inlineStr">
        <x:is>
          <x:t xml:space="preserve">https://mobilypay.sa/offer-details.html?id=offer-6</x:t>
        </x:is>
      </x:c>
      <x:c r="O12" s="4"/>
      <x:c r="P12" s="4"/>
      <x:c r="Q12" s="4"/>
      <x:c r="R12" s="4"/>
      <x:c r="S12" s="4" t="inlineStr">
        <x:is>
          <x:t xml:space="preserve">Offer applies to individual tests under the official terms.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No direct social post verified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Summer Card Offers – Fees on Us &amp; Up to 2% Cashback</x:t>
        </x:is>
      </x:c>
      <x:c r="D13" s="4" t="inlineStr">
        <x:is>
          <x:t xml:space="preserve">Summer campaign offering 0% fees on eligible international card transactions, cashback of up to 2%, and free issuance of the physical Mobily Pay card.</x:t>
        </x:is>
      </x:c>
      <x:c r="E13" s="5"/>
      <x:c r="F13" s="5" t="n">
        <x:v>46222.0</x:v>
      </x:c>
      <x:c r="G13" s="5" t="n">
        <x:v>46253.0</x:v>
      </x:c>
      <x:c r="H13" s="7" t="n">
        <x:f t="shared" si="1">IF(OR(C13="",G13=""),"",G13-TODAY())</x:f>
        <x:v>13</x:v>
      </x:c>
      <x:c r="I13" s="6" t="str">
        <x:f t="shared" si="2">IF(C13="","",IF(G13="","End Date Not Stated",IF(G13&lt;TODAY(),"Expired",IF(G13&lt;=TODAY()+7,"Expiring ≤7 Days",IF(G13&lt;=TODAY()+30,"Expiring 8–30 Days","Active")))))</x:f>
        <x:v>Expiring 8–30 Days</x:v>
      </x:c>
      <x:c r="J13" s="4" t="inlineStr">
        <x:is>
          <x:t xml:space="preserve">Mobily Pay cardholders; eligible card types and transactions are subject to the official terms and conditions.</x:t>
        </x:is>
      </x:c>
      <x:c r="K13" s="1" t="inlineStr">
        <x:is>
          <x:t xml:space="preserve">0% fees on eligible international card transactions, cashback up to 2%, and free physical card issuance.</x:t>
        </x:is>
      </x:c>
      <x:c r="L13" s="4"/>
      <x:c r="M13" s="9" t="str">
        <x:f>IF(C13="","",IF(N13&lt;&gt;"",N13,IF(O13&lt;&gt;"",O13,IF(P13&lt;&gt;"",P13,IF(Q13&lt;&gt;"",Q13,IF(R13&lt;&gt;"",R13,""))))))</x:f>
        <x:v>https://mobilypay.sa/offer-details.html?id=offer-53</x:v>
      </x:c>
      <x:c r="N13" s="63" t="inlineStr">
        <x:is>
          <x:t xml:space="preserve">https://mobilypay.sa/ar/offers/offer-53.html</x:t>
        </x:is>
      </x:c>
      <x:c r="O13" s="4" t="inlineStr">
        <x:is>
          <x:t xml:space="preserve">https://www.instagram.com/p/DbyWZy7gV0O</x:t>
        </x:is>
      </x:c>
      <x:c r="P13" s="63" t="inlineStr">
        <x:is>
          <x:t xml:space="preserve">https://x.com/MobilyPay/status/2080699530656510080</x:t>
        </x:is>
      </x:c>
      <x:c r="Q13" s="63" t="inlineStr">
        <x:is>
          <x:t xml:space="preserve">https://www.facebook.com/mobilypay/posts/1481106724035443/</x:t>
        </x:is>
      </x:c>
      <x:c r="R13" s="63" t="inlineStr">
        <x:is>
          <x:t xml:space="preserve">https://www.tiktok.com/@mobilypay/video/7666785860884434183?is_from_webapp=1&amp;sender_device=pc&amp;web_id=7646835061455799828</x:t>
        </x:is>
      </x:c>
      <x:c r="S13" s="4" t="inlineStr">
        <x:is>
          <x:t xml:space="preserve">Campaign is valid from 19 July to 19 August 2026. It includes 0% international transaction fees for eligible newly issued Platinum and Signature Visa cards, free plastic-card issuance, and eligible POS/e-commerce purchases.</x:t>
        </x:is>
      </x:c>
      <x:c r="T13" s="5" t="n">
        <x:v>46240.0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X, Facebook, TikTok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Other</x:t>
        </x:is>
      </x:c>
      <x:c r="C14" s="4" t="inlineStr">
        <x:is>
          <x:t xml:space="preserve">30% Bonus Alfursan Miles</x:t>
        </x:is>
      </x:c>
      <x:c r="D14" s="4" t="inlineStr">
        <x:is>
          <x:t xml:space="preserve">Convert eligible Mobily Pay Xp+ points into Alfursan Miles and receive 30% additional bonus miles.</x:t>
        </x:is>
      </x:c>
      <x:c r="E14" s="5"/>
      <x:c r="F14" s="5" t="n">
        <x:v>46218.0</x:v>
      </x:c>
      <x:c r="G14" s="5" t="n">
        <x:v>46234.0</x:v>
      </x:c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 t="inlineStr">
        <x:is>
          <x:t xml:space="preserve">Loyalty points conversion / Alfursan Miles</x:t>
        </x:is>
      </x:c>
      <x:c r="K14" s="4" t="inlineStr">
        <x:is>
          <x:t xml:space="preserve">30% bonus Alfursan Miles when converting eligible Mobily Pay Xp+ points into Alfursan Miles.</x:t>
        </x:is>
      </x:c>
      <x:c r="L14" s="4" t="inlineStr">
        <x:is>
          <x:t xml:space="preserve">Mobily Pay customers with eligible Xp+ points and an active Alfursan membership.</x:t>
        </x:is>
      </x:c>
      <x:c r="M14" s="9" t="str">
        <x:f t="shared" si="3">IF(C14="","",IF(N14&lt;&gt;"",N14,IF(O14&lt;&gt;"",O14,IF(P14&lt;&gt;"",P14,IF(Q14&lt;&gt;"",Q14,IF(R14&lt;&gt;"",R14,""))))))</x:f>
        <x:v>https://mobilypay.sa/offer-details.html?id=offer-54</x:v>
      </x:c>
      <x:c r="N14" s="63" t="inlineStr">
        <x:is>
          <x:t xml:space="preserve">https://mobilypay.sa/offer-details.html?id=offer-54</x:t>
        </x:is>
      </x:c>
      <x:c r="O14" s="63" t="inlineStr">
        <x:is>
          <x:t xml:space="preserve">https://www.instagram.com/p/DbDoZvgjlV9/</x:t>
        </x:is>
      </x:c>
      <x:c r="P14" s="63" t="inlineStr">
        <x:is>
          <x:t xml:space="preserve">https://x.com/MobilyPay/status/2080986707143413921</x:t>
        </x:is>
      </x:c>
      <x:c r="Q14" s="63" t="inlineStr">
        <x:is>
          <x:t xml:space="preserve">https://www.facebook.com/mobilypay/posts/1478454067634042/</x:t>
        </x:is>
      </x:c>
      <x:c r="R14" s="4"/>
      <x:c r="S14" s="4" t="inlineStr">
        <x:is>
          <x:t xml:space="preserve">Offer ended on 31 July 2026 and is now expired.</x:t>
        </x:is>
      </x:c>
      <x:c r="T14" s="5" t="n">
        <x:v>46240.0</x:v>
      </x:c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Instagram, X, Facebook</x:v>
      </x:c>
    </x:row>
    <x:row r="15" ht="46.650001525878906" customHeight="1">
      <x:c r="A15" s="8" t="str">
        <x:f t="shared" si="0"/>
      </x:c>
      <x:c r="B15" s="4" t="inlineStr">
        <x:is>
          <x:t xml:space="preserve">Merchant</x:t>
        </x:is>
      </x:c>
      <x:c r="C15" s="4" t="inlineStr">
        <x:is>
          <x:t xml:space="preserve">Ø§Ø³ØªÙØ´Ù Ø§ÙÙ Ø²ÙØ¯</x:t>
        </x:is>
      </x:c>
      <x:c r="D15" s="4" t="inlineStr">
        <x:is>
          <x:t xml:space="preserve">ÙÙØ§Ø±Ø§ 100 Ø±ÙØ§Ù ÙØ§Ø´ Ø¨Ø§Ù Ø§Ø³ØªÙØ´Ù Ø§ÙÙ Ø²ÙØ¯</x:t>
        </x:is>
      </x:c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 t="inlineStr">
        <x:is>
          <x:t xml:space="preserve">https://mobilypay.sa/ar/offers/offer-49.html</x:t>
        </x:is>
      </x:c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/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/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f56c8f61049c4388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239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COUNTIFS(tiqmo!$C$9:$C$500,"&lt;&gt;",tiqmo!$M$9:$M$500,"&lt;&gt;",tiqmo!$B$9:$B$500,"&lt;&gt;Merchant")</x:f>
        <x:v>5</x:v>
      </x:c>
      <x:c r="B5" s="53"/>
      <x:c r="C5" s="53"/>
      <x:c r="D5" s="53"/>
      <x:c r="E5" s="53" t="n">
        <x:f>COUNTIFS(tiqmo!$C$9:$C$500,"&lt;&gt;",tiqmo!$M$9:$M$500,"&lt;&gt;",tiqmo!$B$9:$B$500,"&lt;&gt;Merchant",tiqmo!$I$9:$I$500,"&lt;&gt;Expired")</x:f>
        <x:v>3</x:v>
      </x:c>
      <x:c r="F5" s="53"/>
      <x:c r="G5" s="53"/>
      <x:c r="H5" s="53"/>
      <x:c r="I5" s="54" t="n">
        <x:f>COUNTIFS(tiqmo!$C$9:$C$500,"&lt;&gt;",tiqmo!$M$9:$M$500,"&lt;&gt;",tiqmo!$B$9:$B$500,"&lt;&gt;Merchant",tiqmo!$I$9:$I$500,"&lt;&gt;Expired",tiqmo!$B$9:$B$500,"Remittance")</x:f>
        <x:v>1</x:v>
      </x:c>
      <x:c r="J5" s="54"/>
      <x:c r="K5" s="54"/>
      <x:c r="L5" s="54"/>
      <x:c r="M5" s="55" t="n">
        <x:f>COUNTIFS(tiqmo!$C$9:$C$500,"&lt;&gt;",tiqmo!$M$9:$M$500,"&lt;&gt;",tiqmo!$B$9:$B$500,"Merchant",tiqmo!$I$9:$I$500,"&lt;&gt;Expired")</x:f>
        <x:v>0</x:v>
      </x:c>
      <x:c r="N5" s="55"/>
      <x:c r="O5" s="55"/>
      <x:c r="P5" s="55"/>
      <x:c r="Q5" s="53" t="n">
        <x:f>COUNTIFS(tiqmo!$C$9:$C$500,"&lt;&gt;",tiqmo!$M$9:$M$500,"&lt;&gt;",tiqmo!$B$9:$B$500,"&lt;&gt;Merchant",tiqmo!$I$9:$I$500,"Expiring ≤7 Days")+COUNTIFS(tiqmo!$C$9:$C$500,"&lt;&gt;",tiqmo!$M$9:$M$500,"&lt;&gt;",tiqmo!$B$9:$B$500,"&lt;&gt;Merchant",tiqmo!$I$9:$I$500,"Expiring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SADAD</x:t>
        </x:is>
      </x:c>
      <x:c r="C9" s="4" t="inlineStr">
        <x:is>
          <x:t xml:space="preserve">SADAD Daily Cashback</x:t>
        </x:is>
      </x:c>
      <x:c r="D9" s="4" t="inlineStr">
        <x:is>
          <x:t xml:space="preserve">Pay a SADAD bill for a daily chance to win SAR 1,000 cashback.</x:t>
        </x:is>
      </x:c>
      <x:c r="E9" s="5" t="n">
        <x:v>46227.0</x:v>
      </x:c>
      <x:c r="F9" s="5"/>
      <x:c r="G9" s="5"/>
      <x:c r="H9" s="7" t="str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SADAD bill payments</x:t>
        </x:is>
      </x:c>
      <x:c r="K9" s="4" t="inlineStr">
        <x:is>
          <x:t xml:space="preserve">Daily draw for SAR 1,000 cashback</x:t>
        </x:is>
      </x:c>
      <x:c r="L9" s="4" t="inlineStr">
        <x:is>
          <x:t xml:space="preserve">tiqmo customers using SADAD</x:t>
        </x:is>
      </x:c>
      <x:c r="M9" s="9" t="str">
        <x:f t="shared" ref="M9:M42" si="3">IF(C9="","",IF(N9&lt;&gt;"",N9,IF(O9&lt;&gt;"",O9,IF(P9&lt;&gt;"",P9,IF(Q9&lt;&gt;"",Q9,IF(R9&lt;&gt;"",R9,""))))))</x:f>
        <x:v>https://www.instagram.com/tiqmoksa/p/DbLZ9Yfj6dy/</x:v>
      </x:c>
      <x:c r="N9" s="4"/>
      <x:c r="O9" s="4" t="inlineStr">
        <x:is>
          <x:t xml:space="preserve">https://www.instagram.com/tiqmoksa/p/DbLZ9Yfj6dy/</x:t>
        </x:is>
      </x:c>
      <x:c r="P9" s="63" t="inlineStr">
        <x:is>
          <x:t xml:space="preserve">https://x.com/tiqmo/status/2080654590756978954</x:t>
        </x:is>
      </x:c>
      <x:c r="Q9" s="63" t="inlineStr">
        <x:is>
          <x:t xml:space="preserve">https://www.facebook.com/Tiqmoksa/videos/sar-1000-cashback-every-daypay-your-bills-through-sadad-tiqmo-and-enter-the-dail/28285312344409396/</x:t>
        </x:is>
      </x:c>
      <x:c r="R9" s="4"/>
      <x:c r="S9" s="4" t="inlineStr">
        <x:is>
          <x:t xml:space="preserve">Campaign end date is not stated in the official post.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Merchant</x:t>
        </x:is>
      </x:c>
      <x:c r="C10" s="4" t="inlineStr">
        <x:is>
          <x:t xml:space="preserve">Unlimited 5% Off Game Vouchers</x:t>
        </x:is>
      </x:c>
      <x:c r="D10" s="4" t="inlineStr">
        <x:is>
          <x:t xml:space="preserve">Unlimited 5% discount on eligible gaming vouchers.</x:t>
        </x:is>
      </x:c>
      <x:c r="E10" s="5" t="n">
        <x:v>46226.0</x:v>
      </x:c>
      <x:c r="F10" s="5" t="n">
        <x:v>46204.0</x:v>
      </x:c>
      <x:c r="G10" s="5" t="n">
        <x:v>46234.0</x:v>
      </x:c>
      <x:c r="H10" s="7" t="n">
        <x:f t="shared" si="1">IF(OR(C10="",G10=""),"",G10-TODAY())</x:f>
        <x:v>-6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Expired</x:v>
      </x:c>
      <x:c r="J10" s="4" t="inlineStr">
        <x:is>
          <x:t xml:space="preserve">Gaming-voucher purchases</x:t>
        </x:is>
      </x:c>
      <x:c r="K10" s="4" t="inlineStr">
        <x:is>
          <x:t xml:space="preserve">Unlimited 5% discount</x:t>
        </x:is>
      </x:c>
      <x:c r="L10" s="4" t="inlineStr">
        <x:is>
          <x:t xml:space="preserve">Eligible tiqmo card purchases</x:t>
        </x:is>
      </x:c>
      <x:c r="M10" s="9" t="str">
        <x:f t="shared" si="3">IF(C10="","",IF(N10&lt;&gt;"",N10,IF(O10&lt;&gt;"",O10,IF(P10&lt;&gt;"",P10,IF(Q10&lt;&gt;"",Q10,IF(R10&lt;&gt;"",R10,""))))))</x:f>
        <x:v>https://www.instagram.com/tiqmoksa/p/DbJJsK0IEPD/</x:v>
      </x:c>
      <x:c r="N10" s="4"/>
      <x:c r="O10" s="4" t="inlineStr">
        <x:is>
          <x:t xml:space="preserve">https://www.instagram.com/tiqmoksa/p/DbJJsK0IEPD/</x:t>
        </x:is>
      </x:c>
      <x:c r="P10" s="4"/>
      <x:c r="Q10" s="4"/>
      <x:c r="R10" s="4"/>
      <x:c r="S10" s="4" t="inlineStr">
        <x:is>
          <x:t xml:space="preserve">Offer was valid from 1 July through 31 July 2026 and is now expired.</x:t>
        </x:is>
      </x:c>
      <x:c r="T10" s="5" t="n">
        <x:v>46240.0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100% Cashback on International Transfers – May Edition</x:t>
        </x:is>
      </x:c>
      <x:c r="D11" s="4" t="inlineStr">
        <x:is>
          <x:t xml:space="preserve">International transfers entered a daily draw for a chance to receive the full transfer amount back.</x:t>
        </x:is>
      </x:c>
      <x:c r="E11" s="5"/>
      <x:c r="F11" s="5"/>
      <x:c r="G11" s="5" t="n">
        <x:v>46173.0</x:v>
      </x:c>
      <x:c r="H11" s="7" t="n">
        <x:f t="shared" si="1">IF(OR(C11="",G11=""),"",G11-TODAY())</x:f>
        <x:v>-67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Expired</x:v>
      </x:c>
      <x:c r="J11" s="4" t="inlineStr">
        <x:is>
          <x:t xml:space="preserve">International transfers</x:t>
        </x:is>
      </x:c>
      <x:c r="K11" s="4" t="inlineStr">
        <x:is>
          <x:t xml:space="preserve">100% cashback on the transfer amount; 10 daily winners; no minimum stated</x:t>
        </x:is>
      </x:c>
      <x:c r="L11" s="4" t="inlineStr">
        <x:is>
          <x:t xml:space="preserve">tiqmo international-transfer customers</x:t>
        </x:is>
      </x:c>
      <x:c r="M11" s="9" t="str">
        <x:f t="shared" si="3">IF(C11="","",IF(N11&lt;&gt;"",N11,IF(O11&lt;&gt;"",O11,IF(P11&lt;&gt;"",P11,IF(Q11&lt;&gt;"",Q11,IF(R11&lt;&gt;"",R11,""))))))</x:f>
        <x:v>https://www.instagram.com/p/DXR2gtKkiRW/</x:v>
      </x:c>
      <x:c r="N11" s="4"/>
      <x:c r="O11" s="4" t="inlineStr">
        <x:is>
          <x:t xml:space="preserve">https://www.instagram.com/p/DXR2gtKkiRW/</x:t>
        </x:is>
      </x:c>
      <x:c r="P11" s="63" t="inlineStr">
        <x:is>
          <x:t xml:space="preserve">https://x.com/tiqmo/status/2069088275881677303</x:t>
        </x:is>
      </x:c>
      <x:c r="Q11" s="4" t="inlineStr">
        <x:is>
          <x:t xml:space="preserve">https://www.facebook.com/Tiqmoksa/posts/tiqmo-is-everywhereenjoy-100-cashback-on-international-transfers-with-10-daily-w/943640441763288/ https://www.facebook.com/Tiqmoksa/photos/congrats-may-11-100-cashback-winners-are-herehttpstiqmogolinkjxfro/966768766117122/</x:t>
        </x:is>
      </x:c>
      <x:c r="R11" s="4"/>
      <x:c r="S11" s="4" t="inlineStr">
        <x:is>
          <x:t xml:space="preserve">The winner-announcement post states that the May edition remained available until 31 May 2026; the campaign is expired.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Instagram, X, 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/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 t="inlineStr">
        <x:is>
          <x:t xml:space="preserve">https://www.tiktok.com/@tiqmoksa/video/7672683243400957201</x:t>
        </x:is>
      </x:c>
      <x:c r="S12" s="4" t="inlineStr">
        <x:is>
          <x:t xml:space="preserve">Current official posts continue to promote Monthly Streak Rewards. The official post does not state a campaign end date.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X,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0% fees on eligible international POS purchases and international ATM withdrawals outside Saudi Arabia.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147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https://www.tiqmo.com/ar/offers</x:v>
      </x:c>
      <x:c r="N13" s="4" t="inlineStr">
        <x:is>
          <x:t xml:space="preserve">https://www.tiqmo.com/ar/offers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https://x.com/tiqmo/status/2082496811798085847</x:t>
        </x:is>
      </x:c>
      <x:c r="Q13" s="63" t="inlineStr">
        <x:is>
          <x:t xml:space="preserve">https://www.facebook.com/Tiqmoksa/posts/sar-250000-cashbacksimple-every-riyal-you-spend-a-chance-to-win-sar-250000-every/1001313055996026/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5" t="n">
        <x:v>46240.0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X, Facebook, TikTok</x:v>
      </x:c>
    </x:row>
    <x:row r="14" ht="46.650001525878906" customHeight="1">
      <x:c r="A14" s="8" t="n">
        <x:f t="shared" si="0">IF(C14="","",ROW()-8)</x:f>
        <x:v>6</x:v>
      </x:c>
      <x:c r="B14" s="4"/>
      <x:c r="C14" s="4"/>
      <x:c r="D14" s="4"/>
      <x:c r="E14" s="5"/>
      <x:c r="F14" s="5"/>
      <x:c r="G14" s="5"/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/>
      <x:c r="K14" s="4"/>
      <x:c r="L14" s="4"/>
      <x:c r="M14" s="9" t="str">
        <x:f t="shared" si="3">IF(C14="","",IF(N14&lt;&gt;"",N14,IF(O14&lt;&gt;"",O14,IF(P14&lt;&gt;"",P14,IF(Q14&lt;&gt;"",Q14,IF(R14&lt;&gt;"",R14,""))))))</x:f>
        <x:v>https://www.tiqmo.com/ar/offers</x:v>
      </x:c>
      <x:c r="N14" s="4"/>
      <x:c r="O14" s="4"/>
      <x:c r="P14" s="4"/>
      <x:c r="Q14" s="4"/>
      <x:c r="R14" s="4"/>
      <x:c r="S14" s="4"/>
      <x:c r="T14" s="5"/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X, Facebook</x:v>
      </x:c>
    </x:row>
    <x:row r="15" ht="46.650001525878906" customHeight="1">
      <x:c r="A15" s="8" t="str">
        <x:f t="shared" si="0"/>
      </x:c>
      <x:c r="B15" s="4"/>
      <x:c r="C15" s="4"/>
      <x:c r="D15" s="4"/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/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/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/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1aeda7c43f84b58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273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COUNTIFS(urpay!$C$9:$C$500,"&lt;&gt;",urpay!$M$9:$M$500,"&lt;&gt;",urpay!$B$9:$B$500,"&lt;&gt;Merchant")</x:f>
        <x:v>3</x:v>
      </x:c>
      <x:c r="B5" s="53"/>
      <x:c r="C5" s="53"/>
      <x:c r="D5" s="53"/>
      <x:c r="E5" s="53" t="n">
        <x:f>COUNTIFS(urpay!$C$9:$C$500,"&lt;&gt;",urpay!$M$9:$M$500,"&lt;&gt;",urpay!$B$9:$B$500,"&lt;&gt;Merchant",urpay!$I$9:$I$500,"&lt;&gt;Expired")</x:f>
        <x:v>3</x:v>
      </x:c>
      <x:c r="F5" s="53"/>
      <x:c r="G5" s="53"/>
      <x:c r="H5" s="53"/>
      <x:c r="I5" s="54" t="n">
        <x:f>COUNTIFS(urpay!$C$9:$C$500,"&lt;&gt;",urpay!$M$9:$M$500,"&lt;&gt;",urpay!$B$9:$B$500,"&lt;&gt;Merchant",urpay!$I$9:$I$500,"&lt;&gt;Expired",urpay!$B$9:$B$500,"Remittance")</x:f>
        <x:v>1</x:v>
      </x:c>
      <x:c r="J5" s="54"/>
      <x:c r="K5" s="54"/>
      <x:c r="L5" s="54"/>
      <x:c r="M5" s="55" t="n">
        <x:f>COUNTIFS(urpay!$C$9:$C$500,"&lt;&gt;",urpay!$M$9:$M$500,"&lt;&gt;",urpay!$B$9:$B$500,"Merchant",urpay!$I$9:$I$500,"&lt;&gt;Expired")</x:f>
        <x:v>5</x:v>
      </x:c>
      <x:c r="N5" s="55"/>
      <x:c r="O5" s="55"/>
      <x:c r="P5" s="55"/>
      <x:c r="Q5" s="53" t="n">
        <x:f>COUNTIFS(urpay!$C$9:$C$500,"&lt;&gt;",urpay!$M$9:$M$500,"&lt;&gt;",urpay!$B$9:$B$500,"&lt;&gt;Merchant",urpay!$I$9:$I$500,"Expiring ≤7 Days")+COUNTIFS(urpay!$C$9:$C$500,"&lt;&gt;",urpay!$M$9:$M$500,"&lt;&gt;",urpay!$B$9:$B$500,"&lt;&gt;Merchant",urpay!$I$9:$I$500,"Expiring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Visa Platinum Cashback Game</x:t>
        </x:is>
      </x:c>
      <x:c r="D9" s="4" t="inlineStr">
        <x:is>
          <x:t xml:space="preserve">Eligible Visa purchases generate in-app game chances, with cashback up to 100% of the transaction amount.</x:t>
        </x:is>
      </x:c>
      <x:c r="E9" s="5"/>
      <x:c r="F9" s="5"/>
      <x:c r="G9" s="5"/>
      <x:c r="H9" s="7" t="str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Visa card purchases</x:t>
        </x:is>
      </x:c>
      <x:c r="K9" s="4" t="inlineStr">
        <x:is>
          <x:t xml:space="preserve">Up to 100% cashback; international POS transactions provide two game chances; rewards can reach SAR 100,000</x:t>
        </x:is>
      </x:c>
      <x:c r="L9" s="4" t="inlineStr">
        <x:is>
          <x:t xml:space="preserve">urpay Visa Platinum customers</x:t>
        </x:is>
      </x:c>
      <x:c r="M9" s="9" t="str">
        <x:f t="shared" ref="M9:M46" si="3">IF(C9="","",IF(N9&lt;&gt;"",N9,IF(O9&lt;&gt;"",O9,IF(P9&lt;&gt;"",P9,IF(Q9&lt;&gt;"",Q9,IF(R9&lt;&gt;"",R9,""))))))</x:f>
        <x:v>https://www.urpay.com.sa/en/cashback-system</x:v>
      </x:c>
      <x:c r="N9" s="63" t="inlineStr">
        <x:is>
          <x:t xml:space="preserve">https://www.urpay.com.sa/en/cashback-system</x:t>
        </x:is>
      </x:c>
      <x:c r="O9" s="4"/>
      <x:c r="P9" s="63" t="inlineStr">
        <x:is>
          <x:t xml:space="preserve">https://x.com/urpay_sa/status/2079219785200554454</x:t>
        </x:is>
      </x:c>
      <x:c r="Q9" s="4" t="inlineStr">
        <x:is>
          <x:t xml:space="preserve">https://www.facebook.com/urpay.sa/videos/every-transaction-you-make-with-your-urpay-platinum-visa-card-comes-with-a-game-/2276237546140896/</x:t>
        </x:is>
      </x:c>
      <x:c r="R9" s="4"/>
      <x:c r="S9" s="4" t="inlineStr">
        <x:is>
          <x:t xml:space="preserve">Game chances must be used within 24 hours. A monthly rewards game unlocks after SAR 1,500 cumulative spend.</x:t>
        </x:is>
      </x:c>
      <x:c r="T9" s="5" t="n">
        <x:v>46256.24929005962</x:v>
      </x:c>
      <x:c r="U9" s="35" t="str">
        <x:f t="shared" ref="U9:U46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Merchant</x:t>
        </x:is>
      </x:c>
      <x:c r="C10" s="4" t="inlineStr">
        <x:is>
          <x:t xml:space="preserve">ALHABIB Bedding: 5% Off</x:t>
        </x:is>
      </x:c>
      <x:c r="D10" s="4" t="inlineStr">
        <x:is>
          <x:t xml:space="preserve">5% off eligible products using promo code urpay.</x:t>
        </x:is>
      </x:c>
      <x:c r="E10" s="5"/>
      <x:c r="F10" s="5"/>
      <x:c r="G10" s="5" t="n">
        <x:v>46387.0</x:v>
      </x:c>
      <x:c r="H10" s="7" t="n">
        <x:f t="shared" si="1">IF(OR(C10="",G10=""),"",G10-TODAY())</x:f>
        <x:v>147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Home retail purchases</x:t>
        </x:is>
      </x:c>
      <x:c r="K10" s="4" t="inlineStr">
        <x:is>
          <x:t xml:space="preserve">5% discount using code urpay</x:t>
        </x:is>
      </x:c>
      <x:c r="L10" s="4" t="inlineStr">
        <x:is>
          <x:t xml:space="preserve">All urpay cards</x:t>
        </x:is>
      </x:c>
      <x:c r="M10" s="9" t="str">
        <x:f t="shared" si="3">IF(C10="","",IF(N10&lt;&gt;"",N10,IF(O10&lt;&gt;"",O10,IF(P10&lt;&gt;"",P10,IF(Q10&lt;&gt;"",Q10,IF(R10&lt;&gt;"",R10,""))))))</x:f>
        <x:v>https://www.urpay.com.sa/en/urpay-offers/alhabibbedding</x:v>
      </x:c>
      <x:c r="N10" s="4" t="inlineStr">
        <x:is>
          <x:t xml:space="preserve">https://www.urpay.com.sa/en/urpay-offers/alhabibbedding</x:t>
        </x:is>
      </x:c>
      <x:c r="O10" s="4"/>
      <x:c r="P10" s="4"/>
      <x:c r="Q10" s="4"/>
      <x:c r="R10" s="4"/>
      <x:c r="S10" s="4" t="inlineStr">
        <x:is>
          <x:t xml:space="preserve">Can be used more than once and cannot be combined with other promotions.</x:t>
        </x:is>
      </x:c>
      <x:c r="T10" s="5" t="n">
        <x:v>46256.4168134018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No direct social post verified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Merchant</x:t>
        </x:is>
      </x:c>
      <x:c r="C11" s="4" t="inlineStr">
        <x:is>
          <x:t xml:space="preserve">SQUATWOLF: Up to 10% Off</x:t>
        </x:is>
      </x:c>
      <x:c r="D11" s="4" t="inlineStr">
        <x:is>
          <x:t xml:space="preserve">Up to 10% off selected products using promo code R29.</x:t>
        </x:is>
      </x:c>
      <x:c r="E11" s="5"/>
      <x:c r="F11" s="5"/>
      <x:c r="G11" s="5" t="n">
        <x:v>46387.0</x:v>
      </x:c>
      <x:c r="H11" s="7" t="n">
        <x:f t="shared" si="1">IF(OR(C11="",G11=""),"",G11-TODAY())</x:f>
        <x:v>147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Sportswear e-commerce purchases</x:t>
        </x:is>
      </x:c>
      <x:c r="K11" s="4" t="inlineStr">
        <x:is>
          <x:t xml:space="preserve">Up to 10% discount using code R29</x:t>
        </x:is>
      </x:c>
      <x:c r="L11" s="4" t="inlineStr">
        <x:is>
          <x:t xml:space="preserve">urpay cards only</x:t>
        </x:is>
      </x:c>
      <x:c r="M11" s="9" t="str">
        <x:f t="shared" si="3">IF(C11="","",IF(N11&lt;&gt;"",N11,IF(O11&lt;&gt;"",O11,IF(P11&lt;&gt;"",P11,IF(Q11&lt;&gt;"",Q11,IF(R11&lt;&gt;"",R11,""))))))</x:f>
        <x:v>https://www.urpay.com.sa/en/urpay-offers/squatwolf</x:v>
      </x:c>
      <x:c r="N11" s="4" t="inlineStr">
        <x:is>
          <x:t xml:space="preserve">https://www.urpay.com.sa/en/urpay-offers/squatwolf</x:t>
        </x:is>
      </x:c>
      <x:c r="O11" s="4"/>
      <x:c r="P11" s="4"/>
      <x:c r="Q11" s="4"/>
      <x:c r="R11" s="4"/>
      <x:c r="S11" s="4" t="inlineStr">
        <x:is>
          <x:t xml:space="preserve">Digital-wallet payments are excluded; selected products only.</x:t>
        </x:is>
      </x:c>
      <x:c r="T11" s="5" t="n">
        <x:v>46256.4168134018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No direct social post verified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MAGRABi: Up to 10% Off</x:t>
        </x:is>
      </x:c>
      <x:c r="D12" s="4" t="inlineStr">
        <x:is>
          <x:t xml:space="preserve">Up to 10% off eligible purchases using promo code URPAY.</x:t>
        </x:is>
      </x:c>
      <x:c r="E12" s="5"/>
      <x:c r="F12" s="5"/>
      <x:c r="G12" s="5" t="n">
        <x:v>46387.0</x:v>
      </x:c>
      <x:c r="H12" s="7" t="n">
        <x:f t="shared" si="1">IF(OR(C12="",G12=""),"",G12-TODAY())</x:f>
        <x:v>147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 t="inlineStr">
        <x:is>
          <x:t xml:space="preserve">Optical retail purchases</x:t>
        </x:is>
      </x:c>
      <x:c r="K12" s="4" t="inlineStr">
        <x:is>
          <x:t xml:space="preserve">Up to 10% discount using code URPAY</x:t>
        </x:is>
      </x:c>
      <x:c r="L12" s="4" t="inlineStr">
        <x:is>
          <x:t xml:space="preserve">All urpay cards</x:t>
        </x:is>
      </x:c>
      <x:c r="M12" s="9" t="str">
        <x:f t="shared" si="3">IF(C12="","",IF(N12&lt;&gt;"",N12,IF(O12&lt;&gt;"",O12,IF(P12&lt;&gt;"",P12,IF(Q12&lt;&gt;"",Q12,IF(R12&lt;&gt;"",R12,""))))))</x:f>
        <x:v>https://www.urpay.com.sa/en/urpay-offers/mag</x:v>
      </x:c>
      <x:c r="N12" s="4" t="inlineStr">
        <x:is>
          <x:t xml:space="preserve">https://www.urpay.com.sa/en/urpay-offers/mag</x:t>
        </x:is>
      </x:c>
      <x:c r="O12" s="4"/>
      <x:c r="P12" s="4"/>
      <x:c r="Q12" s="4"/>
      <x:c r="R12" s="4"/>
      <x:c r="S12" s="4" t="inlineStr">
        <x:is>
          <x:t xml:space="preserve">Cartier products are excluded. The offer may be used more than once.</x:t>
        </x:is>
      </x:c>
      <x:c r="T12" s="5" t="n">
        <x:v>46256.4168134018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No direct social post verified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Merchant</x:t>
        </x:is>
      </x:c>
      <x:c r="C13" s="4" t="inlineStr">
        <x:is>
          <x:t xml:space="preserve">Bath &amp; Body Works: Up to 5% Off</x:t>
        </x:is>
      </x:c>
      <x:c r="D13" s="4" t="inlineStr">
        <x:is>
          <x:t xml:space="preserve">Up to 5% off eligible purchases using promo code VN1N.</x:t>
        </x:is>
      </x:c>
      <x:c r="E13" s="5"/>
      <x:c r="F13" s="5"/>
      <x:c r="G13" s="5" t="n">
        <x:v>46387.0</x:v>
      </x:c>
      <x:c r="H13" s="7" t="n">
        <x:f t="shared" si="1">IF(OR(C13="",G13=""),"",G13-TODAY())</x:f>
        <x:v>147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Beauty and personal-care purchases</x:t>
        </x:is>
      </x:c>
      <x:c r="K13" s="4" t="inlineStr">
        <x:is>
          <x:t xml:space="preserve">Up to 5% discount using code VN1N</x:t>
        </x:is>
      </x:c>
      <x:c r="L13" s="4" t="inlineStr">
        <x:is>
          <x:t xml:space="preserve">urpay cards only</x:t>
        </x:is>
      </x:c>
      <x:c r="M13" s="9" t="str">
        <x:f t="shared" si="3">IF(C13="","",IF(N13&lt;&gt;"",N13,IF(O13&lt;&gt;"",O13,IF(P13&lt;&gt;"",P13,IF(Q13&lt;&gt;"",Q13,IF(R13&lt;&gt;"",R13,""))))))</x:f>
        <x:v>https://www.urpay.com.sa/en/urpay-offers/b-bw</x:v>
      </x:c>
      <x:c r="N13" s="4" t="inlineStr">
        <x:is>
          <x:t xml:space="preserve">https://www.urpay.com.sa/en/urpay-offers/b-bw</x:t>
        </x:is>
      </x:c>
      <x:c r="O13" s="4"/>
      <x:c r="P13" s="4"/>
      <x:c r="Q13" s="4"/>
      <x:c r="R13" s="4"/>
      <x:c r="S13" s="4" t="inlineStr">
        <x:is>
          <x:t xml:space="preserve">May be used more than once and cannot be combined with other promotions.</x:t>
        </x:is>
      </x:c>
      <x:c r="T13" s="5" t="n">
        <x:v>46256.4168134018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No direct social post verified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Merchant</x:t>
        </x:is>
      </x:c>
      <x:c r="C14" s="4" t="inlineStr">
        <x:is>
          <x:t xml:space="preserve">Alnahdi Pharmacy: 5% Off</x:t>
        </x:is>
      </x:c>
      <x:c r="D14" s="4" t="inlineStr">
        <x:is>
          <x:t xml:space="preserve">5% off eligible full-price products, capped at SAR 25.</x:t>
        </x:is>
      </x:c>
      <x:c r="E14" s="5"/>
      <x:c r="F14" s="5"/>
      <x:c r="G14" s="5" t="n">
        <x:v>46387.0</x:v>
      </x:c>
      <x:c r="H14" s="7" t="n">
        <x:f t="shared" si="1">IF(OR(C14="",G14=""),"",G14-TODAY())</x:f>
        <x:v>147</x:v>
      </x:c>
      <x:c r="I14" s="6" t="str">
        <x:f t="shared" si="2">IF(C14="","",IF(G14="","End Date Not Stated",IF(G14&lt;TODAY(),"Expired",IF(G14&lt;=TODAY()+7,"Expiring ≤7 Days",IF(G14&lt;=TODAY()+30,"Expiring 8–30 Days","Active")))))</x:f>
        <x:v>Active</x:v>
      </x:c>
      <x:c r="J14" s="4" t="inlineStr">
        <x:is>
          <x:t xml:space="preserve">Pharmacy e-commerce purchases</x:t>
        </x:is>
      </x:c>
      <x:c r="K14" s="4" t="inlineStr">
        <x:is>
          <x:t xml:space="preserve">5% discount capped at SAR 25 using code URPAY</x:t>
        </x:is>
      </x:c>
      <x:c r="L14" s="4" t="inlineStr">
        <x:is>
          <x:t xml:space="preserve">All urpay cards</x:t>
        </x:is>
      </x:c>
      <x:c r="M14" s="9" t="str">
        <x:f t="shared" si="3">IF(C14="","",IF(N14&lt;&gt;"",N14,IF(O14&lt;&gt;"",O14,IF(P14&lt;&gt;"",P14,IF(Q14&lt;&gt;"",Q14,IF(R14&lt;&gt;"",R14,""))))))</x:f>
        <x:v>https://www.urpay.com.sa/en/urpay-offers/nadi-ph</x:v>
      </x:c>
      <x:c r="N14" s="4" t="inlineStr">
        <x:is>
          <x:t xml:space="preserve">https://www.urpay.com.sa/en/urpay-offers/nadi-ph</x:t>
        </x:is>
      </x:c>
      <x:c r="O14" s="4"/>
      <x:c r="P14" s="4"/>
      <x:c r="Q14" s="4"/>
      <x:c r="R14" s="4"/>
      <x:c r="S14" s="4" t="inlineStr">
        <x:is>
          <x:t xml:space="preserve">Valid on most full-price products on the Alnahdi app or website.</x:t>
        </x:is>
      </x:c>
      <x:c r="T14" s="5" t="n">
        <x:v>46256.4168134018</x:v>
      </x:c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No direct social post verified</x:v>
      </x:c>
    </x:row>
    <x:row r="15" ht="46.650001525878906" customHeight="1">
      <x:c r="A15" s="8" t="n">
        <x:f t="shared" si="0">IF(C15="","",ROW()-8)</x:f>
        <x:v>7</x:v>
      </x:c>
      <x:c r="B15" s="4" t="inlineStr">
        <x:is>
          <x:t xml:space="preserve">Merchant</x:t>
        </x:is>
      </x:c>
      <x:c r="C15" s="4" t="inlineStr">
        <x:is>
          <x:t xml:space="preserve">iHerb Visa Offer</x:t>
        </x:is>
      </x:c>
      <x:c r="D15" s="4" t="inlineStr">
        <x:is>
          <x:t xml:space="preserve">Discounts for new and existing iHerb customers.</x:t>
        </x:is>
      </x:c>
      <x:c r="E15" s="5"/>
      <x:c r="F15" s="5"/>
      <x:c r="G15" s="5" t="n">
        <x:v>46203.0</x:v>
      </x:c>
      <x:c r="H15" s="7" t="n">
        <x:f t="shared" si="1">IF(OR(C15="",G15=""),"",G15-TODAY())</x:f>
        <x:v>-37</x:v>
      </x:c>
      <x:c r="I15" s="6" t="str">
        <x:f t="shared" si="2">IF(C15="","",IF(G15="","End Date Not Stated",IF(G15&lt;TODAY(),"Expired",IF(G15&lt;=TODAY()+7,"Expiring ≤7 Days",IF(G15&lt;=TODAY()+30,"Expiring 8–30 Days","Active")))))</x:f>
        <x:v>Expired</x:v>
      </x:c>
      <x:c r="J15" s="4" t="inlineStr">
        <x:is>
          <x:t xml:space="preserve">Health and wellness e-commerce purchases</x:t>
        </x:is>
      </x:c>
      <x:c r="K15" s="4" t="inlineStr">
        <x:is>
          <x:t xml:space="preserve">25% off for new customers and 10% for existing customers</x:t>
        </x:is>
      </x:c>
      <x:c r="L15" s="4" t="inlineStr">
        <x:is>
          <x:t xml:space="preserve">Visa cardholders</x:t>
        </x:is>
      </x:c>
      <x:c r="M15" s="9" t="str">
        <x:f t="shared" si="3">IF(C15="","",IF(N15&lt;&gt;"",N15,IF(O15&lt;&gt;"",O15,IF(P15&lt;&gt;"",P15,IF(Q15&lt;&gt;"",Q15,IF(R15&lt;&gt;"",R15,""))))))</x:f>
        <x:v>https://www.urpay.com.sa/en/urpay-offers/iherb</x:v>
      </x:c>
      <x:c r="N15" s="4" t="inlineStr">
        <x:is>
          <x:t xml:space="preserve">https://www.urpay.com.sa/en/urpay-offers/iherb</x:t>
        </x:is>
      </x:c>
      <x:c r="O15" s="4"/>
      <x:c r="P15" s="4"/>
      <x:c r="Q15" s="4"/>
      <x:c r="R15" s="4"/>
      <x:c r="S15" s="4" t="inlineStr">
        <x:is>
          <x:t xml:space="preserve">Expired on 30 June 2026; retained for recent competitive context.</x:t>
        </x:is>
      </x:c>
      <x:c r="T15" s="5" t="n">
        <x:v>46240.0</x:v>
      </x:c>
      <x:c r="U15" s="35" t="str">
        <x:f t="shared" si="4">IF(C15="","",IF(COUNTA(O15:R15)=0,"No direct social post verified",IF(O15&lt;&gt;"","Instagram","")&amp;IF(AND(O15&lt;&gt;"",OR(P15&lt;&gt;"",Q15&lt;&gt;"",R15&lt;&gt;"")),", ","")&amp;IF(P15&lt;&gt;"","X","")&amp;IF(AND(P15&lt;&gt;"",OR(Q15&lt;&gt;"",R15&lt;&gt;"")),", ","")&amp;IF(Q15&lt;&gt;"","Facebook","")&amp;IF(AND(Q15&lt;&gt;"",R15&lt;&gt;""),", ","")&amp;IF(R15&lt;&gt;"","TikTok","")))</x:f>
        <x:v>No direct social post verified</x:v>
      </x:c>
    </x:row>
    <x:row r="16" ht="46.650001525878906" customHeight="1">
      <x:c r="A16" s="8" t="n">
        <x:f t="shared" si="0">IF(C16="","",ROW()-8)</x:f>
        <x:v>8</x:v>
      </x:c>
      <x:c r="B16" s="4" t="inlineStr">
        <x:is>
          <x:t xml:space="preserve">Musaned</x:t>
        </x:is>
      </x:c>
      <x:c r="C16" s="4" t="inlineStr">
        <x:is>
          <x:t xml:space="preserve">Musaned Domestic Worker Salary Travel Ticket Draw</x:t>
        </x:is>
      </x:c>
      <x:c r="D16" s="4" t="inlineStr">
        <x:is>
          <x:t xml:space="preserve">Transfer a domestic worker's salary through Musaned in urpay and enter a draw to win a travel ticket for the worker to their home country.</x:t>
        </x:is>
      </x:c>
      <x:c r="E16" s="5"/>
      <x:c r="F16" s="5"/>
      <x:c r="G16" s="5"/>
      <x:c r="H16" s="7" t="str">
        <x:f t="shared" si="1">IF(OR(C16="",G16=""),"",G16-TODAY())</x:f>
      </x:c>
      <x:c r="I16" s="6" t="str">
        <x:f t="shared" si="2">IF(C16="","",IF(G16="","End Date Not Stated",IF(G16&lt;TODAY(),"Expired",IF(G16&lt;=TODAY()+7,"Expiring ≤7 Days",IF(G16&lt;=TODAY()+30,"Expiring 8–30 Days","Active")))))</x:f>
        <x:v>End Date Not Stated</x:v>
      </x:c>
      <x:c r="J16" s="4" t="inlineStr">
        <x:is>
          <x:t xml:space="preserve">Domestic worker salary transfer through Musaned</x:t>
        </x:is>
      </x:c>
      <x:c r="K16" s="4" t="inlineStr">
        <x:is>
          <x:t xml:space="preserve">Salary transfer generates an entry into a travel-ticket prize draw</x:t>
        </x:is>
      </x:c>
      <x:c r="L16" s="4" t="inlineStr">
        <x:is>
          <x:t xml:space="preserve">urpay customers using the Musaned domestic-worker salary service</x:t>
        </x:is>
      </x:c>
      <x:c r="M16" s="9" t="str">
        <x:f t="shared" si="3">IF(C16="","",IF(N16&lt;&gt;"",N16,IF(O16&lt;&gt;"",O16,IF(P16&lt;&gt;"",P16,IF(Q16&lt;&gt;"",Q16,IF(R16&lt;&gt;"",R16,""))))))</x:f>
        <x:v>https://x.com/urpay_sa/status/2074433249682845889</x:v>
      </x:c>
      <x:c r="N16" s="4"/>
      <x:c r="O16" s="4"/>
      <x:c r="P16" s="4" t="inlineStr">
        <x:is>
          <x:t xml:space="preserve">https://x.com/urpay_sa/status/2074433249682845889</x:t>
        </x:is>
      </x:c>
      <x:c r="Q16" s="4"/>
      <x:c r="R16" s="4"/>
      <x:c r="S16" s="4" t="inlineStr">
        <x:is>
          <x:t xml:space="preserve">The official post does not state a campaign end date.</x:t>
        </x:is>
      </x:c>
      <x:c r="T16" s="5" t="n">
        <x:v>46240.0</x:v>
      </x:c>
      <x:c r="U16" s="35" t="str">
        <x:f t="shared" si="4">IF(C16="","",IF(COUNTA(O16:R16)=0,"No direct social post verified",IF(O16&lt;&gt;"","Instagram","")&amp;IF(AND(O16&lt;&gt;"",OR(P16&lt;&gt;"",Q16&lt;&gt;"",R16&lt;&gt;"")),", ","")&amp;IF(P16&lt;&gt;"","X","")&amp;IF(AND(P16&lt;&gt;"",OR(Q16&lt;&gt;"",R16&lt;&gt;"")),", ","")&amp;IF(Q16&lt;&gt;"","Facebook","")&amp;IF(AND(Q16&lt;&gt;"",R16&lt;&gt;""),", ","")&amp;IF(R16&lt;&gt;"","TikTok","")))</x:f>
        <x:v>X</x:v>
      </x:c>
    </x:row>
    <x:row r="17" ht="46.650001525878906" customHeight="1">
      <x:c r="A17" s="8" t="n">
        <x:f t="shared" si="0">IF(C17="","",ROW()-8)</x:f>
        <x:v>9</x:v>
      </x:c>
      <x:c r="B17" s="124" t="inlineStr">
        <x:is>
          <x:t xml:space="preserve">Remittance</x:t>
        </x:is>
      </x:c>
      <x:c r="C17" s="124" t="inlineStr">
        <x:is>
          <x:t xml:space="preserve">International Transfer Scratch &amp; Win – Up to SAR 10,000</x:t>
        </x:is>
      </x:c>
      <x:c r="D17" s="124" t="inlineStr">
        <x:is>
          <x:t xml:space="preserve">Every international transfer generates a scratch chance to win a cash prize of up to SAR 10,000.</x:t>
        </x:is>
      </x:c>
      <x:c r="E17" s="125"/>
      <x:c r="F17" s="125"/>
      <x:c r="G17" s="125"/>
      <x:c r="H17" s="126" t="str">
        <x:f t="shared" si="1">IF(OR(C17="",G17=""),"",G17-TODAY())</x:f>
      </x:c>
      <x:c r="I17" s="124" t="str">
        <x:f t="shared" si="2">IF(C17="","",IF(G17="","End Date Not Stated",IF(G17&lt;TODAY(),"Expired",IF(G17&lt;=TODAY()+7,"Expiring ≤7 Days",IF(G17&lt;=TODAY()+30,"Expiring 8–30 Days","Active")))))</x:f>
        <x:v>End Date Not Stated</x:v>
      </x:c>
      <x:c r="J17" s="124" t="inlineStr">
        <x:is>
          <x:t xml:space="preserve">International transfers</x:t>
        </x:is>
      </x:c>
      <x:c r="K17" s="124" t="inlineStr">
        <x:is>
          <x:t xml:space="preserve">Scratch-and-win cash prizes up to SAR 10,000</x:t>
        </x:is>
      </x:c>
      <x:c r="L17" s="124" t="inlineStr">
        <x:is>
          <x:t xml:space="preserve">urpay customers making eligible international transfers; provider terms apply</x:t>
        </x:is>
      </x:c>
      <x:c r="M17" s="124" t="str">
        <x:f t="shared" si="3">IF(C17="","",IF(N17&lt;&gt;"",N17,IF(O17&lt;&gt;"",O17,IF(P17&lt;&gt;"",P17,IF(Q17&lt;&gt;"",Q17,IF(R17&lt;&gt;"",R17,""))))))</x:f>
        <x:v>https://www.facebook.com/urpay.sa/posts/scratch-win-with-every-international-transfer-via-urpay-and-you-could-win-up-to-/1079237764323076/</x:v>
      </x:c>
      <x:c r="N17" s="124"/>
      <x:c r="O17" s="124"/>
      <x:c r="P17" s="124" t="inlineStr">
        <x:is>
          <x:t xml:space="preserve">https://x.com/urpay_sa/status/2087192314116731265</x:t>
        </x:is>
      </x:c>
      <x:c r="Q17" s="124" t="inlineStr">
        <x:is>
          <x:t xml:space="preserve">https://www.facebook.com/urpay.sa/posts/scratch-win-with-every-international-transfer-via-urpay-and-you-could-win-up-to-/1079237764323076/</x:t>
        </x:is>
      </x:c>
      <x:c r="R17" s="124"/>
      <x:c r="S17" s="124" t="inlineStr">
        <x:is>
          <x:t xml:space="preserve">A direct official Facebook post promotes scratch-and-win rewards up to SAR 10,000. The post does not state a campaign end date.</x:t>
        </x:is>
      </x:c>
      <x:c r="T17" s="125" t="n">
        <x:v>46240.0</x:v>
      </x:c>
      <x:c r="U17" s="127" t="str">
        <x:f t="shared" si="4">IF(C17="","",IF(COUNTA(O17:R17)=0,"No direct social post verified",IF(O17&lt;&gt;"","Instagram","")&amp;IF(AND(O17&lt;&gt;"",OR(P17&lt;&gt;"",Q17&lt;&gt;"",R17&lt;&gt;"")),", ","")&amp;IF(P17&lt;&gt;"","X","")&amp;IF(AND(P17&lt;&gt;"",OR(Q17&lt;&gt;"",R17&lt;&gt;"")),", ","")&amp;IF(Q17&lt;&gt;"","Facebook","")&amp;IF(AND(Q17&lt;&gt;"",R17&lt;&gt;""),", ","")&amp;IF(R17&lt;&gt;"","TikTok","")))</x:f>
        <x:v>Facebook</x:v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  <x:row r="43" ht="46.650001525878906" customHeight="1">
      <x:c r="A43" s="8" t="str">
        <x:f t="shared" si="0"/>
      </x:c>
      <x:c r="B43" s="4"/>
      <x:c r="C43" s="4"/>
      <x:c r="D43" s="4"/>
      <x:c r="E43" s="5"/>
      <x:c r="F43" s="5"/>
      <x:c r="G43" s="5"/>
      <x:c r="H43" s="7" t="str">
        <x:f t="shared" si="1"/>
      </x:c>
      <x:c r="I43" s="6" t="str">
        <x:f t="shared" si="2"/>
      </x:c>
      <x:c r="J43" s="4"/>
      <x:c r="K43" s="4"/>
      <x:c r="L43" s="4"/>
      <x:c r="M43" s="9" t="str">
        <x:f t="shared" si="3"/>
      </x:c>
      <x:c r="N43" s="4"/>
      <x:c r="O43" s="4"/>
      <x:c r="P43" s="4"/>
      <x:c r="Q43" s="4"/>
      <x:c r="R43" s="4"/>
      <x:c r="S43" s="4"/>
      <x:c r="T43" s="5"/>
      <x:c r="U43" s="35" t="str">
        <x:f t="shared" si="4"/>
      </x:c>
    </x:row>
    <x:row r="44" ht="46.650001525878906" customHeight="1">
      <x:c r="A44" s="8" t="str">
        <x:f t="shared" si="0"/>
      </x:c>
      <x:c r="B44" s="4"/>
      <x:c r="C44" s="4"/>
      <x:c r="D44" s="4"/>
      <x:c r="E44" s="5"/>
      <x:c r="F44" s="5"/>
      <x:c r="G44" s="5"/>
      <x:c r="H44" s="7" t="str">
        <x:f t="shared" si="1"/>
      </x:c>
      <x:c r="I44" s="6" t="str">
        <x:f t="shared" si="2"/>
      </x:c>
      <x:c r="J44" s="4"/>
      <x:c r="K44" s="4"/>
      <x:c r="L44" s="4"/>
      <x:c r="M44" s="9" t="str">
        <x:f t="shared" si="3"/>
      </x:c>
      <x:c r="N44" s="4"/>
      <x:c r="O44" s="4"/>
      <x:c r="P44" s="4"/>
      <x:c r="Q44" s="4"/>
      <x:c r="R44" s="4"/>
      <x:c r="S44" s="4"/>
      <x:c r="T44" s="5"/>
      <x:c r="U44" s="35" t="str">
        <x:f t="shared" si="4"/>
      </x:c>
    </x:row>
    <x:row r="45" ht="46.650001525878906" customHeight="1">
      <x:c r="A45" s="8" t="str">
        <x:f t="shared" si="0"/>
      </x:c>
      <x:c r="B45" s="4"/>
      <x:c r="C45" s="4"/>
      <x:c r="D45" s="4"/>
      <x:c r="E45" s="5"/>
      <x:c r="F45" s="5"/>
      <x:c r="G45" s="5"/>
      <x:c r="H45" s="7" t="str">
        <x:f t="shared" si="1"/>
      </x:c>
      <x:c r="I45" s="6" t="str">
        <x:f t="shared" si="2"/>
      </x:c>
      <x:c r="J45" s="4"/>
      <x:c r="K45" s="4"/>
      <x:c r="L45" s="4"/>
      <x:c r="M45" s="9" t="str">
        <x:f t="shared" si="3"/>
      </x:c>
      <x:c r="N45" s="4"/>
      <x:c r="O45" s="4"/>
      <x:c r="P45" s="4"/>
      <x:c r="Q45" s="4"/>
      <x:c r="R45" s="4"/>
      <x:c r="S45" s="4"/>
      <x:c r="T45" s="5"/>
      <x:c r="U45" s="35" t="str">
        <x:f t="shared" si="4"/>
      </x:c>
    </x:row>
    <x:row r="46" ht="46.650001525878906" customHeight="1">
      <x:c r="A46" s="8" t="str">
        <x:f t="shared" si="0"/>
      </x:c>
      <x:c r="B46" s="4"/>
      <x:c r="C46" s="4"/>
      <x:c r="D46" s="4"/>
      <x:c r="E46" s="5"/>
      <x:c r="F46" s="5"/>
      <x:c r="G46" s="5"/>
      <x:c r="H46" s="7" t="str">
        <x:f t="shared" si="1"/>
      </x:c>
      <x:c r="I46" s="6" t="str">
        <x:f t="shared" si="2"/>
      </x:c>
      <x:c r="J46" s="4"/>
      <x:c r="K46" s="4"/>
      <x:c r="L46" s="4"/>
      <x:c r="M46" s="9" t="str">
        <x:f t="shared" si="3"/>
      </x:c>
      <x:c r="N46" s="4"/>
      <x:c r="O46" s="4"/>
      <x:c r="P46" s="4"/>
      <x:c r="Q46" s="4"/>
      <x:c r="R46" s="4"/>
      <x:c r="S46" s="4"/>
      <x:c r="T46" s="5"/>
      <x:c r="U46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2b8447572ee4d08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328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COUNTIFS('alinma pay'!$C$9:$C$500,"&lt;&gt;",'alinma pay'!$M$9:$M$500,"&lt;&gt;",'alinma pay'!$B$9:$B$500,"&lt;&gt;Merchant")</x:f>
        <x:v>5</x:v>
      </x:c>
      <x:c r="B5" s="53"/>
      <x:c r="C5" s="53"/>
      <x:c r="D5" s="53"/>
      <x:c r="E5" s="53" t="n">
        <x:f>COUNTIFS('alinma pay'!$C$9:$C$500,"&lt;&gt;",'alinma pay'!$M$9:$M$500,"&lt;&gt;",'alinma pay'!$B$9:$B$500,"&lt;&gt;Merchant",'alinma pay'!$I$9:$I$500,"&lt;&gt;Expired")</x:f>
        <x:v>5</x:v>
      </x:c>
      <x:c r="F5" s="53"/>
      <x:c r="G5" s="53"/>
      <x:c r="H5" s="53"/>
      <x:c r="I5" s="54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J5" s="54"/>
      <x:c r="K5" s="54"/>
      <x:c r="L5" s="54"/>
      <x:c r="M5" s="55" t="n">
        <x:f>COUNTIFS('alinma pay'!$C$9:$C$500,"&lt;&gt;",'alinma pay'!$M$9:$M$500,"&lt;&gt;",'alinma pay'!$B$9:$B$500,"Merchant",'alinma pay'!$I$9:$I$500,"&lt;&gt;Expired")</x:f>
        <x:v>0</x:v>
      </x:c>
      <x:c r="N5" s="55"/>
      <x:c r="O5" s="55"/>
      <x:c r="P5" s="55"/>
      <x:c r="Q5" s="53" t="n">
        <x:f>COUNTIFS('alinma pay'!$C$9:$C$500,"&lt;&gt;",'alinma pay'!$M$9:$M$500,"&lt;&gt;",'alinma pay'!$B$9:$B$500,"&lt;&gt;Merchant",'alinma pay'!$I$9:$I$500,"Expiring ≤7 Days")+COUNTIFS('alinma pay'!$C$9:$C$500,"&lt;&gt;",'alinma pay'!$M$9:$M$500,"&lt;&gt;",'alinma pay'!$B$9:$B$500,"&lt;&gt;Merchant",'alinma pay'!$I$9:$I$500,"Expiring 8–30 Days")</x:f>
        <x:v>1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Visa Signature: 2% Cashback</x:t>
        </x:is>
      </x:c>
      <x:c r="D9" s="4" t="inlineStr">
        <x:is>
          <x:t xml:space="preserve">2% cashback on restaurants, supermarkets, grocery stores, and fuel, capped at SAR 300.</x:t>
        </x:is>
      </x:c>
      <x:c r="E9" s="5"/>
      <x:c r="F9" s="5" t="n">
        <x:v>46210.0</x:v>
      </x:c>
      <x:c r="G9" s="5" t="n">
        <x:v>46241.0</x:v>
      </x:c>
      <x:c r="H9" s="7" t="n">
        <x:f t="shared" ref="H9:H42" si="1">IF(OR(C9="",G9=""),"",G9-TODAY())</x:f>
        <x:v>1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≤7 Days</x:v>
      </x:c>
      <x:c r="J9" s="4" t="inlineStr">
        <x:is>
          <x:t xml:space="preserve">Everyday Visa Signature purchases</x:t>
        </x:is>
      </x:c>
      <x:c r="K9" s="4" t="inlineStr">
        <x:is>
          <x:t xml:space="preserve">2% cashback capped at SAR 300</x:t>
        </x:is>
      </x:c>
      <x:c r="L9" s="4" t="inlineStr">
        <x:is>
          <x:t xml:space="preserve">alinma pay Visa Signature card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https://www.instagram.com/alinmapay/p/CC4JUxohSuN/</x:v>
      </x:c>
      <x:c r="N9" s="4"/>
      <x:c r="O9" s="63" t="inlineStr">
        <x:is>
          <x:t xml:space="preserve">https://www.instagram.com/alinmapay/p/CC4JUxohSuN/</x:t>
        </x:is>
      </x:c>
      <x:c r="P9" s="4" t="inlineStr">
        <x:is>
          <x:t xml:space="preserve">https://x.com/alinmapay/status/2074871700508832252</x:t>
        </x:is>
      </x:c>
      <x:c r="Q9" s="63" t="inlineStr">
        <x:is>
          <x:t xml:space="preserve">https://www.facebook.com/AlinmaPaySA/posts/weve-extended-the-offer-and-increased-the-limit-enjoy-up-to-2-cashback-with-the-/1632962732164891/</x:t>
        </x:is>
      </x:c>
      <x:c r="R9" s="4"/>
      <x:c r="S9" s="4" t="inlineStr">
        <x:is>
          <x:t xml:space="preserve">Eligible merchant categories include restaurants, supermarkets, grocery stores, and fuel. Social verification: The official X post explicitly states the extended 2% cashback offer and the SAR 300 cap.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/>
      <x:c r="G10" s="5"/>
      <x:c r="H10" s="7" t="str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https://www.alinmapay.com.sa/Offers/OIF-JUN2026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5" t="n">
        <x:v>46240.0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International Transfers for SAR 5</x:t>
        </x:is>
      </x:c>
      <x:c r="D11" s="4" t="inlineStr">
        <x:is>
          <x:t xml:space="preserve">Flat SAR 5 transfer fee to multiple international corridors.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transfers through alinma pay Direct</x:t>
        </x:is>
      </x:c>
      <x:c r="K11" s="4" t="inlineStr">
        <x:is>
          <x:t xml:space="preserve">Flat SAR 5 transfer fee</x:t>
        </x:is>
      </x:c>
      <x:c r="L11" s="4" t="inlineStr">
        <x:is>
          <x:t xml:space="preserve">Transfers to listed destinations including the Philippines, Egypt, Bangladesh, Sri Lanka, Indonesia, Nepal, Jordan, and Morocco</x:t>
        </x:is>
      </x:c>
      <x:c r="M11" s="9" t="str">
        <x:f t="shared" si="3">IF(C11="","",IF(N11&lt;&gt;"",N11,IF(O11&lt;&gt;"",O11,IF(P11&lt;&gt;"",P11,IF(Q11&lt;&gt;"",Q11,IF(R11&lt;&gt;"",R11,""))))))</x:f>
        <x:v>https://www.instagram.com/alinmapay/p/CC_U-JDB6yh/</x:v>
      </x:c>
      <x:c r="N11" s="4" t="inlineStr">
        <x:is>
          <x:t xml:space="preserve">https://www.alinmapay.com.sa/Offers/Transfer-Fee-Offer-June26</x:t>
        </x:is>
      </x:c>
      <x:c r="O11" s="63" t="inlineStr">
        <x:is>
          <x:t xml:space="preserve">https://www.instagram.com/alinmapay/p/CC_U-JDB6yh/</x:t>
        </x:is>
      </x:c>
      <x:c r="P11" s="4" t="inlineStr">
        <x:is>
          <x:t xml:space="preserve">https://x.com/alinmapay/status/1978784486424035774</x:t>
        </x:is>
      </x:c>
      <x:c r="Q11" s="63" t="inlineStr">
        <x:is>
          <x:t xml:space="preserve">https://www.facebook.com/AlinmaPaySA/posts/lower-fees-easier-transfers-send-money-to-india-and-bangladesh-through-alinmapay/1606878421439989/</x:t>
        </x:is>
      </x:c>
      <x:c r="R11" s="4"/>
      <x:c r="S11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Instagram, X, 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Transfers to India from SAR 700</x:t>
        </x:is>
      </x:c>
      <x:c r="D12" s="4" t="inlineStr">
        <x:is>
          <x:t xml:space="preserve">Transfers of SAR 700 or more to Indian bank accounts are promoted with zero transfer fees.</x:t>
        </x:is>
      </x:c>
      <x:c r="E12" s="5" t="n">
        <x:v>46068.0</x:v>
      </x:c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 to India</x:t>
        </x:is>
      </x:c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https://www.facebook.com/AlinmaPaySA/videos/zero-fees-fast-transfers-to-india/873682655502395/</x:v>
      </x:c>
      <x:c r="N12" s="4"/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/>
      <x:c r="S12" s="4" t="inlineStr">
        <x:is>
          <x:t xml:space="preserve">Campaign end date is not stated in the official video.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Musaned</x:t>
        </x:is>
      </x:c>
      <x:c r="C13" s="4" t="inlineStr">
        <x:is>
          <x:t xml:space="preserve">Musaned Salary Transfer – 100% Cashback Draw</x:t>
        </x:is>
      </x:c>
      <x:c r="D13" s="4" t="inlineStr">
        <x:is>
          <x:t xml:space="preserve">Transfer a domestic worker's salary through Musaned in alinma pay for a chance to win 100% cashback.</x:t>
        </x:is>
      </x:c>
      <x:c r="E13" s="5" t="n">
        <x:v>46239.0</x:v>
      </x:c>
      <x:c r="F13" s="5"/>
      <x:c r="G13" s="5"/>
      <x:c r="H13" s="7" t="str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Domestic worker salary transfer through Musaned</x:t>
        </x:is>
      </x:c>
      <x:c r="K13" s="4" t="inlineStr">
        <x:is>
          <x:t xml:space="preserve">Three winners receive 100% cashback up to SAR 1,000</x:t>
        </x:is>
      </x:c>
      <x:c r="L13" s="4" t="inlineStr">
        <x:is>
          <x:t xml:space="preserve">alinma pay customers transferring domestic-worker salaries through Musaned</x:t>
        </x:is>
      </x:c>
      <x:c r="M13" s="9" t="str">
        <x:f t="shared" si="3">IF(C13="","",IF(N13&lt;&gt;"",N13,IF(O13&lt;&gt;"",O13,IF(P13&lt;&gt;"",P13,IF(Q13&lt;&gt;"",Q13,IF(R13&lt;&gt;"",R13,""))))))</x:f>
        <x:v>https://www.instagram.com/alinmapay/p/DbqaY05mm9E/</x:v>
      </x:c>
      <x:c r="N13" s="4" t="inlineStr">
        <x:is>
          <x:t xml:space="preserve">https://www.alinmapay.com.sa/Offers/Musaned-Cashback</x:t>
        </x:is>
      </x:c>
      <x:c r="O13" s="4" t="inlineStr">
        <x:is>
          <x:t xml:space="preserve">https://www.instagram.com/alinmapay/p/DbqaY05mm9E/</x:t>
        </x:is>
      </x:c>
      <x:c r="P13" s="4" t="inlineStr">
        <x:is>
          <x:t xml:space="preserve">https://x.com/alinmapay/status/2085018248685232195</x:t>
        </x:is>
      </x:c>
      <x:c r="Q13" s="4"/>
      <x:c r="R13" s="4"/>
      <x:c r="S13" s="4" t="inlineStr">
        <x:is>
          <x:t xml:space="preserve">Official Instagram and X posts announce three winners, each receiving 100% cashback up to SAR 1,000. The campaign end date is not stated.</x:t>
        </x:is>
      </x:c>
      <x:c r="T13" s="5" t="n">
        <x:v>46240.0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</x:v>
      </x:c>
    </x:row>
    <x:row r="14" ht="46.650001525878906" customHeight="1">
      <x:c r="A14" s="8" t="str">
        <x:f t="shared" si="0"/>
      </x:c>
      <x:c r="B14" s="4" t="inlineStr">
        <x:is>
          <x:t xml:space="preserve">Merchant</x:t>
        </x:is>
      </x:c>
      <x:c r="C14" s="4" t="inlineStr">
        <x:is>
          <x:t xml:space="preserve">استمتع بأجواء رائعة بخصم 20% في اجو</x:t>
        </x:is>
      </x:c>
      <x:c r="D14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4" s="5"/>
      <x:c r="F14" s="5"/>
      <x:c r="G14" s="5"/>
      <x:c r="H14" s="7" t="str">
        <x:f t="shared" si="1"/>
      </x:c>
      <x:c r="I14" s="6" t="str">
        <x:f t="shared" si="2"/>
      </x:c>
      <x:c r="J14" s="4"/>
      <x:c r="K14" s="4"/>
      <x:c r="L14" s="4"/>
      <x:c r="M14" s="9" t="str">
        <x:f t="shared" si="3"/>
      </x:c>
      <x:c r="N14" s="4" t="inlineStr">
        <x:is>
          <x:t xml:space="preserve">https://www.alinmapay.com.sa/Offers/Agio-dec25</x:t>
        </x:is>
      </x:c>
      <x:c r="O14" s="4"/>
      <x:c r="P14" s="4"/>
      <x:c r="Q14" s="4"/>
      <x:c r="R14" s="4"/>
      <x:c r="S14" s="4"/>
      <x:c r="T14" s="5"/>
      <x:c r="U14" s="35" t="str">
        <x:f t="shared" si="4"/>
      </x:c>
    </x:row>
    <x:row r="15" ht="46.650001525878906" customHeight="1">
      <x:c r="A15" s="8" t="str">
        <x:f t="shared" si="0"/>
      </x:c>
      <x:c r="B15" s="4" t="inlineStr">
        <x:is>
          <x:t xml:space="preserve">Merchant</x:t>
        </x:is>
      </x:c>
      <x:c r="C15" s="4" t="inlineStr">
        <x:is>
          <x:t xml:space="preserve">استمتع بأجواء رائعة بخصم 20% في بيف بار</x:t>
        </x:is>
      </x:c>
      <x:c r="D15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 t="inlineStr">
        <x:is>
          <x:t xml:space="preserve">https://www.alinmapay.com.sa/Offers/Winter---Beefbar-offer-Dece25</x:t>
        </x:is>
      </x:c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 t="inlineStr">
        <x:is>
          <x:t xml:space="preserve">Merchant</x:t>
        </x:is>
      </x:c>
      <x:c r="C16" s="4" t="inlineStr">
        <x:is>
          <x:t xml:space="preserve">استمتع بأجواء رائعة بخصم 20% في سان كارلو شيكيتي</x:t>
        </x:is>
      </x:c>
      <x:c r="D16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 t="inlineStr">
        <x:is>
          <x:t xml:space="preserve">https://www.alinmapay.com.sa/Offers/Winter-San-Carlo-Cicchetti-offer-Dece25</x:t>
        </x:is>
      </x:c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 t="inlineStr">
        <x:is>
          <x:t xml:space="preserve">Merchant</x:t>
        </x:is>
      </x:c>
      <x:c r="C17" s="4" t="inlineStr">
        <x:is>
          <x:t xml:space="preserve">استمتع بأجواء رائعة واحصل على خصم 15% في أيرث كافيه</x:t>
        </x:is>
      </x:c>
      <x:c r="D17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 t="inlineStr">
        <x:is>
          <x:t xml:space="preserve">https://www.alinmapay.com.sa/Offers/Urth-Cafe-dec25</x:t>
        </x:is>
      </x:c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 t="inlineStr">
        <x:is>
          <x:t xml:space="preserve">Merchant</x:t>
        </x:is>
      </x:c>
      <x:c r="C18" s="4" t="inlineStr">
        <x:is>
          <x:t xml:space="preserve">استمتع بأجواء رائعة واستمتع بخصم 20% في بيف بار</x:t>
        </x:is>
      </x:c>
      <x:c r="D18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 t="inlineStr">
        <x:is>
          <x:t xml:space="preserve">https://www.alinmapay.com.sa/Offers/Beefbar-dec25</x:t>
        </x:is>
      </x:c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 t="inlineStr">
        <x:is>
          <x:t xml:space="preserve">Merchant</x:t>
        </x:is>
      </x:c>
      <x:c r="C19" s="4" t="inlineStr">
        <x:is>
          <x:t xml:space="preserve">استمتع بأجواء رائعة واستمتع بخصم 20% في روباتا</x:t>
        </x:is>
      </x:c>
      <x:c r="D19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 t="inlineStr">
        <x:is>
          <x:t xml:space="preserve">https://www.alinmapay.com.sa/Offers/Robata-dec25</x:t>
        </x:is>
      </x:c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 t="inlineStr">
        <x:is>
          <x:t xml:space="preserve">Merchant</x:t>
        </x:is>
      </x:c>
      <x:c r="C20" s="4" t="inlineStr">
        <x:is>
          <x:t xml:space="preserve">استمتع بأجواء رائعة واستمتع بخصم 20% في كريزي بيتزا</x:t>
        </x:is>
      </x:c>
      <x:c r="D20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 t="inlineStr">
        <x:is>
          <x:t xml:space="preserve">https://www.alinmapay.com.sa/Offers/Crazy-Pizza-dec25</x:t>
        </x:is>
      </x:c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 t="inlineStr">
        <x:is>
          <x:t xml:space="preserve">Merchant</x:t>
        </x:is>
      </x:c>
      <x:c r="C21" s="4" t="inlineStr">
        <x:is>
          <x:t xml:space="preserve">استمتع بأجواء رائعة واستمتع بخصم 20% في كويا</x:t>
        </x:is>
      </x:c>
      <x:c r="D21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 t="inlineStr">
        <x:is>
          <x:t xml:space="preserve">https://www.alinmapay.com.sa/Offers/Coya-dec25</x:t>
        </x:is>
      </x:c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 t="inlineStr">
        <x:is>
          <x:t xml:space="preserve">Merchant</x:t>
        </x:is>
      </x:c>
      <x:c r="C22" s="4" t="inlineStr">
        <x:is>
          <x:t xml:space="preserve">استمتع بأجواء واستمتع بخصم 20% رائعة في سان كارلو شيكيتي</x:t>
        </x:is>
      </x:c>
      <x:c r="D22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 t="inlineStr">
        <x:is>
          <x:t xml:space="preserve">https://www.alinmapay.com.sa/Offers/San-Carlo-Cicchetti-dec25</x:t>
        </x:is>
      </x:c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 t="inlineStr">
        <x:is>
          <x:t xml:space="preserve">Merchant</x:t>
        </x:is>
      </x:c>
      <x:c r="C23" s="4" t="inlineStr">
        <x:is>
          <x:t xml:space="preserve">استمتع بأجواء واستمتع بخصم 20% رائعة في سينيور ساسي</x:t>
        </x:is>
      </x:c>
      <x:c r="D23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 t="inlineStr">
        <x:is>
          <x:t xml:space="preserve">https://www.alinmapay.com.sa/Offers/Signor-Sassi-dec25</x:t>
        </x:is>
      </x:c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 t="inlineStr">
        <x:is>
          <x:t xml:space="preserve">Merchant</x:t>
        </x:is>
      </x:c>
      <x:c r="C24" s="4" t="inlineStr">
        <x:is>
          <x:t xml:space="preserve">استمتع بأجواء واستمتع بخصم 20% رائعة في كايزو</x:t>
        </x:is>
      </x:c>
      <x:c r="D24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 t="inlineStr">
        <x:is>
          <x:t xml:space="preserve">https://www.alinmapay.com.sa/Offers/Kayzo-dec25</x:t>
        </x:is>
      </x:c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 t="inlineStr">
        <x:is>
          <x:t xml:space="preserve">Merchant</x:t>
        </x:is>
      </x:c>
      <x:c r="C25" s="4" t="inlineStr">
        <x:is>
          <x:t xml:space="preserve">استمتع بأجواء واستمتع بخصم 20% رائعة في ميازو</x:t>
        </x:is>
      </x:c>
      <x:c r="D25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 t="inlineStr">
        <x:is>
          <x:t xml:space="preserve">https://www.alinmapay.com.sa/Offers/MYAZU-dec25</x:t>
        </x:is>
      </x:c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 t="inlineStr">
        <x:is>
          <x:t xml:space="preserve">Merchant</x:t>
        </x:is>
      </x:c>
      <x:c r="C26" s="4" t="inlineStr">
        <x:is>
          <x:t xml:space="preserve">استمتع بخصم 15% لدى المهيدب ريزدنس</x:t>
        </x:is>
      </x:c>
      <x:c r="D26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 t="inlineStr">
        <x:is>
          <x:t xml:space="preserve">https://www.alinmapay.com.sa/Offers/Al-Muhaidb-Offer---Feb-2026</x:t>
        </x:is>
      </x:c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 t="inlineStr">
        <x:is>
          <x:t xml:space="preserve">Merchant</x:t>
        </x:is>
      </x:c>
      <x:c r="C27" s="4" t="inlineStr">
        <x:is>
          <x:t xml:space="preserve">استمتع بخصم 15% لدى فنادق إيواء</x:t>
        </x:is>
      </x:c>
      <x:c r="D27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 t="inlineStr">
        <x:is>
          <x:t xml:space="preserve">https://www.alinmapay.com.sa/Offers/EWAA-Hotels-Offer---Feb-2026</x:t>
        </x:is>
      </x:c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 t="inlineStr">
        <x:is>
          <x:t xml:space="preserve">Merchant</x:t>
        </x:is>
      </x:c>
      <x:c r="C28" s="4" t="inlineStr">
        <x:is>
          <x:t xml:space="preserve">استمتع بخصم 15% لدى فنادق جراند بلازا</x:t>
        </x:is>
      </x:c>
      <x:c r="D28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 t="inlineStr">
        <x:is>
          <x:t xml:space="preserve">https://www.alinmapay.com.sa/Offers/Grand-Plaza-Hotels---Feb-2026</x:t>
        </x:is>
      </x:c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 t="inlineStr">
        <x:is>
          <x:t xml:space="preserve">Merchant</x:t>
        </x:is>
      </x:c>
      <x:c r="C29" s="4" t="inlineStr">
        <x:is>
          <x:t xml:space="preserve">استمتع بخصم 30% لدى ستايلي</x:t>
        </x:is>
      </x:c>
      <x:c r="D29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 t="inlineStr">
        <x:is>
          <x:t xml:space="preserve">https://www.alinmapay.com.sa/Offers/Stily-Offer---Feb-2026</x:t>
        </x:is>
      </x:c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 t="inlineStr">
        <x:is>
          <x:t xml:space="preserve">Merchant</x:t>
        </x:is>
      </x:c>
      <x:c r="C30" s="4" t="inlineStr">
        <x:is>
          <x:t xml:space="preserve">خصم 20% لدى سيار</x:t>
        </x:is>
      </x:c>
      <x:c r="D30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 t="inlineStr">
        <x:is>
          <x:t xml:space="preserve">https://www.alinmapay.com.sa/Offers/Sayyar---April2026</x:t>
        </x:is>
      </x:c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 t="inlineStr">
        <x:is>
          <x:t xml:space="preserve">Merchant</x:t>
        </x:is>
      </x:c>
      <x:c r="C31" s="4" t="inlineStr">
        <x:is>
          <x:t xml:space="preserve">عرض آيهيرب 40%</x:t>
        </x:is>
      </x:c>
      <x:c r="D31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 t="inlineStr">
        <x:is>
          <x:t xml:space="preserve">https://www.alinmapay.com.sa/Offers/iHerb_Aug_2026</x:t>
        </x:is>
      </x:c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 t="inlineStr">
        <x:is>
          <x:t xml:space="preserve">Merchant</x:t>
        </x:is>
      </x:c>
      <x:c r="C32" s="4" t="inlineStr">
        <x:is>
          <x:t xml:space="preserve">عرض شي إن 20%</x:t>
        </x:is>
      </x:c>
      <x:c r="D32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 t="inlineStr">
        <x:is>
          <x:t xml:space="preserve">https://www.alinmapay.com.sa/Offers/SHEIN_Aug_2026</x:t>
        </x:is>
      </x:c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 t="inlineStr">
        <x:is>
          <x:t xml:space="preserve">Merchant</x:t>
        </x:is>
      </x:c>
      <x:c r="C33" s="4" t="inlineStr">
        <x:is>
          <x:t xml:space="preserve">عرض نون</x:t>
        </x:is>
      </x:c>
      <x:c r="D33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 t="inlineStr">
        <x:is>
          <x:t xml:space="preserve">https://www.alinmapay.com.sa/Offers/Noon-Aug-Offer</x:t>
        </x:is>
      </x:c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 t="inlineStr">
        <x:is>
          <x:t xml:space="preserve">Merchant</x:t>
        </x:is>
      </x:c>
      <x:c r="C34" s="4" t="inlineStr">
        <x:is>
          <x:t xml:space="preserve">عين لندن: خصم 15%</x:t>
        </x:is>
      </x:c>
      <x:c r="D34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 t="inlineStr">
        <x:is>
          <x:t xml:space="preserve">https://www.alinmapay.com.sa/Offers/LendonEye_2026</x:t>
        </x:is>
      </x:c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 t="inlineStr">
        <x:is>
          <x:t xml:space="preserve">Merchant</x:t>
        </x:is>
      </x:c>
      <x:c r="C35" s="4" t="inlineStr">
        <x:is>
          <x:t xml:space="preserve">كيمارت: خصم 70 ريال</x:t>
        </x:is>
      </x:c>
      <x:c r="D35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 t="inlineStr">
        <x:is>
          <x:t xml:space="preserve">https://www.alinmapay.com.sa/Offers/Keemart_Aug_2026</x:t>
        </x:is>
      </x:c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 t="inlineStr">
        <x:is>
          <x:t xml:space="preserve">Merchant</x:t>
        </x:is>
      </x:c>
      <x:c r="C36" s="4" t="inlineStr">
        <x:is>
          <x:t xml:space="preserve">ليجو لاند: خصم 15%</x:t>
        </x:is>
      </x:c>
      <x:c r="D36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 t="inlineStr">
        <x:is>
          <x:t xml:space="preserve">https://www.alinmapay.com.sa/Offers/LegoLand_2026</x:t>
        </x:is>
      </x:c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 t="inlineStr">
        <x:is>
          <x:t xml:space="preserve">Merchant</x:t>
        </x:is>
      </x:c>
      <x:c r="C37" s="4" t="inlineStr">
        <x:is>
          <x:t xml:space="preserve">مدام تيسو: خصم 15%</x:t>
        </x:is>
      </x:c>
      <x:c r="D37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 t="inlineStr">
        <x:is>
          <x:t xml:space="preserve">https://www.alinmapay.com.sa/Offers/MADAME-TUSSAUDS_2026</x:t>
        </x:is>
      </x:c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0978fa95d2494467"/>
  </x:tableParts>
</x:worksheet>
</file>

<file path=xl/worksheets/sheet8.xml><?xml version="1.0" encoding="utf-8"?>
<x:worksheet xmlns:x="http://schemas.openxmlformats.org/spreadsheetml/2006/main">
  <x:sheetFormatPr defaultRowHeight="14"/>
  <x:cols>
    <x:col min="1" max="1" width="18" customWidth="1"/>
    <x:col min="2" max="2" width="65" customWidth="1"/>
    <x:col min="3" max="3" width="58" customWidth="1"/>
    <x:col min="4" max="4" width="28" customWidth="1"/>
    <x:col min="5" max="5" width="30" customWidth="1"/>
    <x:col min="6" max="6" width="44" customWidth="1"/>
    <x:col min="7" max="7" width="70" customWidth="1"/>
    <x:col min="8" max="8" width="36" customWidth="1"/>
  </x:cols>
  <x:sheetData>
    <x:row r="1" ht="21.5">
      <x:c r="A1" s="58" t="s">
        <x:v>356</x:v>
      </x:c>
      <x:c r="B1" s="58"/>
      <x:c r="C1" s="58"/>
      <x:c r="D1" s="58"/>
      <x:c r="E1" s="58"/>
      <x:c r="F1" s="58"/>
      <x:c r="G1" s="58"/>
      <x:c r="H1" s="58"/>
    </x:row>
    <x:row r="2" ht="22.649999618530273" customHeight="1">
      <x:c r="A2" s="59" t="s">
        <x:v>357</x:v>
      </x:c>
      <x:c r="B2" s="59"/>
      <x:c r="C2" s="59"/>
      <x:c r="D2" s="59"/>
      <x:c r="E2" s="59"/>
      <x:c r="F2" s="59"/>
      <x:c r="G2" s="59"/>
      <x:c r="H2" s="59"/>
    </x:row>
    <x:row r="4">
      <x:c r="A4" s="26" t="s">
        <x:v>358</x:v>
      </x:c>
      <x:c r="B4" s="26" t="s">
        <x:v>359</x:v>
      </x:c>
      <x:c r="C4" s="26" t="s">
        <x:v>360</x:v>
      </x:c>
      <x:c r="D4" s="26" t="s">
        <x:v>361</x:v>
      </x:c>
    </x:row>
    <x:row r="5" ht="38.650001525878906" customHeight="1">
      <x:c r="A5" s="27" t="s">
        <x:v>15</x:v>
      </x:c>
      <x:c r="B5" s="27" t="s">
        <x:v>362</x:v>
      </x:c>
      <x:c r="C5" s="27" t="s">
        <x:v>363</x:v>
      </x:c>
      <x:c r="D5" s="27" t="s">
        <x:v>364</x:v>
      </x:c>
    </x:row>
    <x:row r="6" ht="38.650001525878906" customHeight="1">
      <x:c r="A6" s="4" t="s">
        <x:v>16</x:v>
      </x:c>
      <x:c r="B6" s="4" t="s">
        <x:v>362</x:v>
      </x:c>
      <x:c r="C6" s="4" t="s">
        <x:v>365</x:v>
      </x:c>
      <x:c r="D6" s="4" t="s">
        <x:v>366</x:v>
      </x:c>
    </x:row>
    <x:row r="7" ht="38.650001525878906" customHeight="1">
      <x:c r="A7" s="4" t="s">
        <x:v>17</x:v>
      </x:c>
      <x:c r="B7" s="4" t="s">
        <x:v>362</x:v>
      </x:c>
      <x:c r="C7" s="4" t="s">
        <x:v>367</x:v>
      </x:c>
      <x:c r="D7" s="4" t="s">
        <x:v>368</x:v>
      </x:c>
    </x:row>
    <x:row r="8" ht="38.650001525878906" customHeight="1">
      <x:c r="A8" s="4" t="s">
        <x:v>18</x:v>
      </x:c>
      <x:c r="B8" s="4" t="s">
        <x:v>362</x:v>
      </x:c>
      <x:c r="C8" s="4" t="s">
        <x:v>369</x:v>
      </x:c>
      <x:c r="D8" s="4" t="s">
        <x:v>370</x:v>
      </x:c>
    </x:row>
    <x:row r="9" ht="38.650001525878906" customHeight="1">
      <x:c r="A9" s="4" t="s">
        <x:v>19</x:v>
      </x:c>
      <x:c r="B9" s="4" t="s">
        <x:v>362</x:v>
      </x:c>
      <x:c r="C9" s="4" t="s">
        <x:v>371</x:v>
      </x:c>
      <x:c r="D9" s="4" t="s">
        <x:v>372</x:v>
      </x:c>
    </x:row>
    <x:row r="10" ht="38.650001525878906" customHeight="1">
      <x:c r="A10" s="28" t="s">
        <x:v>101</x:v>
      </x:c>
      <x:c r="B10" s="28" t="s">
        <x:v>373</x:v>
      </x:c>
      <x:c r="C10" s="28" t="s">
        <x:v>374</x:v>
      </x:c>
      <x:c r="D10" s="28" t="s">
        <x:v>375</x:v>
      </x:c>
    </x:row>
    <x:row r="11" ht="38.650001525878906" customHeight="1">
      <x:c r="A11" s="4" t="s">
        <x:v>29</x:v>
      </x:c>
      <x:c r="B11" s="4" t="s">
        <x:v>376</x:v>
      </x:c>
      <x:c r="C11" s="4" t="s">
        <x:v>377</x:v>
      </x:c>
      <x:c r="D11" s="4" t="s">
        <x:v>378</x:v>
      </x:c>
    </x:row>
    <x:row r="14" ht="16.5">
      <x:c r="A14" s="46" t="s">
        <x:v>379</x:v>
      </x:c>
      <x:c r="B14" s="46"/>
      <x:c r="C14" s="46"/>
      <x:c r="D14" s="46"/>
      <x:c r="E14" s="46"/>
      <x:c r="F14" s="46"/>
      <x:c r="G14" s="46"/>
      <x:c r="H14" s="46"/>
    </x:row>
    <x:row r="15" ht="22.649999618530273" customHeight="1">
      <x:c r="A15" s="60" t="s">
        <x:v>380</x:v>
      </x:c>
      <x:c r="B15" s="60"/>
      <x:c r="C15" s="60"/>
      <x:c r="D15" s="60"/>
      <x:c r="E15" s="60"/>
      <x:c r="F15" s="60"/>
      <x:c r="G15" s="60"/>
      <x:c r="H15" s="60"/>
    </x:row>
    <x:row r="16" ht="22.649999618530273" customHeight="1">
      <x:c r="A16" s="61" t="s">
        <x:v>381</x:v>
      </x:c>
      <x:c r="B16" s="61"/>
      <x:c r="C16" s="61"/>
      <x:c r="D16" s="61"/>
      <x:c r="E16" s="61"/>
      <x:c r="F16" s="61"/>
      <x:c r="G16" s="61"/>
      <x:c r="H16" s="61"/>
    </x:row>
    <x:row r="17" ht="22.649999618530273" customHeight="1">
      <x:c r="A17" s="60" t="s">
        <x:v>382</x:v>
      </x:c>
      <x:c r="B17" s="60"/>
      <x:c r="C17" s="60"/>
      <x:c r="D17" s="60"/>
      <x:c r="E17" s="60"/>
      <x:c r="F17" s="60"/>
      <x:c r="G17" s="60"/>
      <x:c r="H17" s="60"/>
    </x:row>
    <x:row r="18" ht="22.649999618530273" customHeight="1">
      <x:c r="A18" s="61" t="s">
        <x:v>383</x:v>
      </x:c>
      <x:c r="B18" s="61"/>
      <x:c r="C18" s="61"/>
      <x:c r="D18" s="61"/>
      <x:c r="E18" s="61"/>
      <x:c r="F18" s="61"/>
      <x:c r="G18" s="61"/>
      <x:c r="H18" s="61"/>
    </x:row>
    <x:row r="19" ht="22.649999618530273" customHeight="1">
      <x:c r="A19" s="60" t="s">
        <x:v>384</x:v>
      </x:c>
      <x:c r="B19" s="60"/>
      <x:c r="C19" s="60"/>
      <x:c r="D19" s="60"/>
      <x:c r="E19" s="60"/>
      <x:c r="F19" s="60"/>
      <x:c r="G19" s="60"/>
      <x:c r="H19" s="60"/>
    </x:row>
    <x:row r="20" ht="36.650001525878906" customHeight="1"/>
    <x:row r="21" ht="36.650001525878906" customHeight="1"/>
    <x:row r="22" ht="36.650001525878906" customHeight="1">
      <x:c r="A22" s="45" t="s">
        <x:v>385</x:v>
      </x:c>
      <x:c r="B22" s="45"/>
      <x:c r="C22" s="45"/>
      <x:c r="D22" s="45"/>
      <x:c r="E22" s="45"/>
      <x:c r="F22" s="45"/>
      <x:c r="G22" s="45"/>
      <x:c r="H22" s="45"/>
    </x:row>
    <x:row r="23" ht="32" customHeight="1"/>
    <x:row r="24" ht="32" customHeight="1">
      <x:c r="A24" s="21" t="s">
        <x:v>386</x:v>
      </x:c>
      <x:c r="B24" s="21" t="s">
        <x:v>387</x:v>
      </x:c>
      <x:c r="D24" s="29" t="s">
        <x:v>388</x:v>
      </x:c>
      <x:c r="E24" s="29" t="s">
        <x:v>389</x:v>
      </x:c>
      <x:c r="F24" s="29" t="s">
        <x:v>390</x:v>
      </x:c>
      <x:c r="G24" s="29" t="s">
        <x:v>391</x:v>
      </x:c>
      <x:c r="H24" s="29" t="s">
        <x:v>392</x:v>
      </x:c>
    </x:row>
    <x:row r="25" ht="46.650001525878906" customHeight="1">
      <x:c r="A25" s="1" t="s">
        <x:v>393</x:v>
      </x:c>
      <x:c r="B25" s="1" t="s">
        <x:v>394</x:v>
      </x:c>
      <x:c r="D25" s="4" t="s">
        <x:v>395</x:v>
      </x:c>
      <x:c r="E25" s="4" t="s">
        <x:v>396</x:v>
      </x:c>
      <x:c r="F25" s="4" t="s">
        <x:v>397</x:v>
      </x:c>
      <x:c r="G25" s="4" t="s">
        <x:v>398</x:v>
      </x:c>
      <x:c r="H25" s="4" t="s">
        <x:v>399</x:v>
      </x:c>
    </x:row>
    <x:row r="26" ht="46.650001525878906" customHeight="1">
      <x:c r="A26" s="1" t="s">
        <x:v>400</x:v>
      </x:c>
      <x:c r="B26" s="1" t="s">
        <x:v>401</x:v>
      </x:c>
      <x:c r="D26" s="4" t="s">
        <x:v>402</x:v>
      </x:c>
      <x:c r="E26" s="4" t="s">
        <x:v>403</x:v>
      </x:c>
      <x:c r="F26" s="4" t="s">
        <x:v>404</x:v>
      </x:c>
      <x:c r="G26" s="4" t="s">
        <x:v>405</x:v>
      </x:c>
      <x:c r="H26" s="4" t="s">
        <x:v>406</x:v>
      </x:c>
    </x:row>
    <x:row r="27" ht="46.650001525878906" customHeight="1">
      <x:c r="A27" s="1" t="s">
        <x:v>407</x:v>
      </x:c>
      <x:c r="B27" s="1" t="s">
        <x:v>408</x:v>
      </x:c>
      <x:c r="D27" s="4" t="s">
        <x:v>409</x:v>
      </x:c>
      <x:c r="E27" s="4" t="s">
        <x:v>410</x:v>
      </x:c>
      <x:c r="F27" s="4" t="s">
        <x:v>411</x:v>
      </x:c>
      <x:c r="G27" s="4" t="s">
        <x:v>412</x:v>
      </x:c>
      <x:c r="H27" s="4" t="s">
        <x:v>413</x:v>
      </x:c>
    </x:row>
    <x:row r="28" ht="30.649999618530273" customHeight="1">
      <x:c r="A28" s="1" t="s">
        <x:v>414</x:v>
      </x:c>
      <x:c r="B28" s="1" t="s">
        <x:v>415</x:v>
      </x:c>
    </x:row>
    <x:row r="29" ht="30.649999618530273" customHeight="1">
      <x:c r="A29" s="1" t="s">
        <x:v>416</x:v>
      </x:c>
      <x:c r="B29" s="1" t="s">
        <x:v>417</x:v>
      </x:c>
    </x:row>
    <x:row r="30" ht="30.649999618530273" customHeight="1">
      <x:c r="A30" s="1" t="s">
        <x:v>418</x:v>
      </x:c>
      <x:c r="B30" s="1" t="s">
        <x:v>419</x:v>
      </x:c>
    </x:row>
    <x:row r="31" ht="30.649999618530273" customHeight="1">
      <x:c r="A31" s="1" t="s">
        <x:v>420</x:v>
      </x:c>
      <x:c r="B31" s="1" t="s">
        <x:v>421</x:v>
      </x:c>
    </x:row>
    <x:row r="32" ht="30.649999618530273" customHeight="1">
      <x:c r="A32" s="1" t="s">
        <x:v>422</x:v>
      </x:c>
      <x:c r="B32" s="1" t="s">
        <x:v>423</x:v>
      </x:c>
    </x:row>
    <x:row r="34" ht="22.649999618530273" customHeight="1">
      <x:c r="A34" s="62" t="s">
        <x:v>424</x:v>
      </x:c>
      <x:c r="B34" s="62"/>
      <x:c r="C34" s="62"/>
      <x:c r="D34" s="62"/>
      <x:c r="E34" s="62"/>
      <x:c r="F34" s="62"/>
      <x:c r="G34" s="62"/>
      <x:c r="H34" s="62"/>
    </x:row>
  </x:sheetData>
  <x:mergeCells>
    <x:mergeCell ref="A17:H17"/>
    <x:mergeCell ref="A18:H18"/>
    <x:mergeCell ref="A19:H19"/>
    <x:mergeCell ref="A22:H22"/>
    <x:mergeCell ref="A34:H34"/>
    <x:mergeCell ref="A1:H1"/>
    <x:mergeCell ref="A2:H2"/>
    <x:mergeCell ref="A14:H14"/>
    <x:mergeCell ref="A15:H15"/>
    <x:mergeCell ref="A16:H16"/>
  </x:mergeCells>
  <x:pageMargins left="0.7" right="0.7" top="0.75" bottom="0.75" header="0.3" footer="0.3"/>
</x:worksheet>
</file>