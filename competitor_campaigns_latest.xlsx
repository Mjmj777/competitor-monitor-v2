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df835f90524d92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8bfa44e4a7c742be"/>
    <x:sheet name="STC Bank" sheetId="2" ns1:id="R2e06e46aab874d7f"/>
    <x:sheet name="barq" sheetId="3" ns1:id="Ra56fd28c908b435e"/>
    <x:sheet name="Mobily Pay" sheetId="4" ns1:id="R94fc1ecd33504839"/>
    <x:sheet name="tiqmo" sheetId="5" ns1:id="Rc405098af46c4d0d"/>
    <x:sheet name="urpay" sheetId="6" ns1:id="R78cbdb297ae84077"/>
    <x:sheet name="alinma pay" sheetId="7" ns1:id="Rf9268759951b465c"/>
    <x:sheet name="Update Guide" sheetId="8" ns1:id="Rb7478ae8afe54542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<x:sst xmlns:x="http://schemas.openxmlformats.org/spreadsheetml/2006/main">
  <x:si>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| barq | Mobily Pay | tiqmo | urpay | alinma pay</x:t>
  </x:si>
  <x:si>
    <x:t xml:space="preserve">Status Calculated As Of</x:t>
  </x:si>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</x:sst>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3">
    <x:numFmt numFmtId="164" formatCode="mmmm\ d\,\ yyyy"/>
    <x:numFmt numFmtId="165" formatCode="yyyy\-mm\-dd"/>
    <x:numFmt numFmtId="200" formatCode="0%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3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3230a58054def" /><Relationship Type="http://schemas.openxmlformats.org/officeDocument/2006/relationships/theme" Target="/xl/theme/theme1.xml" Id="R5cc67516cf504147" /><Relationship Type="http://schemas.openxmlformats.org/officeDocument/2006/relationships/sharedStrings" Target="/xl/sharedStrings.xml" Id="R325abfcaa05e49e8" /><Relationship Type="http://schemas.openxmlformats.org/officeDocument/2006/relationships/worksheet" Target="/xl/worksheets/sheet1.xml" Id="R8bfa44e4a7c742be" /><Relationship Type="http://schemas.openxmlformats.org/officeDocument/2006/relationships/worksheet" Target="/xl/worksheets/sheet2.xml" Id="R2e06e46aab874d7f" /><Relationship Type="http://schemas.openxmlformats.org/officeDocument/2006/relationships/worksheet" Target="/xl/worksheets/sheet3.xml" Id="Ra56fd28c908b435e" /><Relationship Type="http://schemas.openxmlformats.org/officeDocument/2006/relationships/worksheet" Target="/xl/worksheets/sheet4.xml" Id="R94fc1ecd33504839" /><Relationship Type="http://schemas.openxmlformats.org/officeDocument/2006/relationships/worksheet" Target="/xl/worksheets/sheet5.xml" Id="Rc405098af46c4d0d" /><Relationship Type="http://schemas.openxmlformats.org/officeDocument/2006/relationships/worksheet" Target="/xl/worksheets/sheet6.xml" Id="R78cbdb297ae84077" /><Relationship Type="http://schemas.openxmlformats.org/officeDocument/2006/relationships/worksheet" Target="/xl/worksheets/sheet7.xml" Id="Rf9268759951b465c" /><Relationship Type="http://schemas.openxmlformats.org/officeDocument/2006/relationships/worksheet" Target="/xl/worksheets/sheet8.xml" Id="Rb7478ae8afe545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f37ecfa86a4725" /><Relationship Type="http://schemas.openxmlformats.org/officeDocument/2006/relationships/chart" Target="/xl/drawings/charts/chart2.xml" Id="R189a839208b44784" /><Relationship Type="http://schemas.openxmlformats.org/officeDocument/2006/relationships/chart" Target="/xl/drawings/charts/chart3.xml" Id="Rae770279fed9449d" /><Relationship Type="http://schemas.openxmlformats.org/officeDocument/2006/relationships/chart" Target="/xl/drawings/charts/chart4.xml" Id="R4d5300143ead441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Campaign Mix (Merchant Excluded)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Remittance Campaign Focus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Social Media Activity — Last 14 Days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Instagram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Dashboard'!$B$54:$B$59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X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Dashboard'!$C$54:$C$59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Facebook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Dashboard'!$D$54:$D$59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TikTok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Dashboard'!$E$54:$E$59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f37ecfa86a4725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a839208b44784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770279fed9449d"/>
        </a:graphicData>
      </a:graphic>
    </xdr:graphicFrame>
    <xdr:clientData/>
  </xdr:twoCellAnchor>
  <xdr:twoCellAnchor>
    <xdr:from>
      <xdr:col>6</xdr:col>
      <xdr:colOff>0</xdr:colOff>
      <xdr:row>51</xdr:row>
      <xdr:rowOff>0</xdr:rowOff>
    </xdr:from>
    <xdr:to>
      <xdr:col>13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5300143ead44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ecfa3cc6644f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7724ef1e6e47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97a54acd1e44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510448c70f14d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33113ccc264e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f047b21d434b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406d3836b54fc3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tr">
        <x:v>Competitor Intelligence Campaign Dashboard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0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46260.50138282675</x:v>
      </x:c>
      <x:c r="C3" s="10"/>
      <x:c r="D3" s="10" t="s">
        <x:v>1</x:v>
      </x:c>
      <x:c r="E3" s="11" t="n">
        <x:f>TODAY()</x:f>
        <x:v>46261.266617167625</x:v>
      </x:c>
      <x:c r="F3" s="10"/>
      <x:c r="G3" s="40" t="str">
        <x:v>Dashboard includes active approved campaigns only. Merchant offers are excluded and shown only as a count in each competitor sheet.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tr">
        <x:v>Current Campaigns</x:v>
      </x:c>
      <x:c r="B5" s="12"/>
      <x:c r="C5" s="14" t="str">
        <x:v>Remittance Campaigns</x:v>
      </x:c>
      <x:c r="D5" s="14"/>
      <x:c r="E5" s="16" t="str">
        <x:v>Social Posts — Last 14 Days</x:v>
      </x:c>
      <x:c r="F5" s="16"/>
      <x:c r="G5" s="12" t="str">
        <x:v>Expiring Campaigns ≤30d</x:v>
      </x:c>
      <x:c r="H5" s="12"/>
      <x:c r="I5" s="41" t="str">
        <x:v>Competitors Tracked</x:v>
      </x:c>
      <x:c r="J5" s="41"/>
    </x:row>
    <x:row r="6" ht="25.399999618530273" customHeight="1">
      <x:c r="A6" s="13" t="n">
        <x:f>SUM(B10:B15)</x:f>
        <x:v>31</x:v>
      </x:c>
      <x:c r="B6" s="13"/>
      <x:c r="C6" s="15" t="n">
        <x:f>SUM(G10:G15)</x:f>
        <x:v>10</x:v>
      </x:c>
      <x:c r="D6" s="15"/>
      <x:c r="E6" s="17" t="n">
        <x:f>SUM(F54:F59)</x:f>
        <x:v>364</x:v>
      </x:c>
      <x:c r="F6" s="17"/>
      <x:c r="G6" s="13" t="n">
        <x:f>SUM(E10:F15)</x:f>
        <x:v>5</x:v>
      </x:c>
      <x:c r="H6" s="13"/>
      <x:c r="I6" s="42" t="n">
        <x:f>COUNTA(A10:A15)</x:f>
        <x:v>6</x:v>
      </x:c>
      <x:c r="J6" s="42"/>
    </x:row>
    <x:row r="9" ht="30.649999618530273" customHeight="1">
      <x:c r="A9" s="18" t="str">
        <x:v>Competitor</x:v>
      </x:c>
      <x:c r="B9" s="18" t="str">
        <x:v>Current Campaigns</x:v>
      </x:c>
      <x:c r="C9" s="18" t="str">
        <x:v>Active &gt;30d</x:v>
      </x:c>
      <x:c r="D9" s="18" t="str">
        <x:v>End Date Not Stated</x:v>
      </x:c>
      <x:c r="E9" s="18" t="str">
        <x:v>Expiring ≤7d</x:v>
      </x:c>
      <x:c r="F9" s="18" t="str">
        <x:v>Expiring 8–30d</x:v>
      </x:c>
      <x:c r="G9" s="18" t="str">
        <x:v>Remittance</x:v>
      </x:c>
      <x:c r="H9" s="19" t="str">
        <x:v>Musaned</x:v>
      </x:c>
      <x:c r="I9" s="18" t="str">
        <x:v>SADAD</x:v>
      </x:c>
      <x:c r="J9" s="18" t="str">
        <x:v>Card</x:v>
      </x:c>
      <x:c r="K9" s="18" t="str">
        <x:v>Engagement</x:v>
      </x:c>
      <x:c r="L9" s="18" t="str">
        <x:v>Other</x:v>
      </x:c>
      <x:c r="M9" s="18" t="str">
        <x:v>Social Posts (14d)</x:v>
      </x:c>
    </x:row>
    <x:row r="10" ht="28" customHeight="1">
      <x:c r="A10" s="2" t="str">
        <x:v>STC Bank</x:v>
      </x:c>
      <x:c r="B10" s="2" t="n">
        <x:f>COUNTIFS('STC Bank'!$C$9:$C$500,"&lt;&gt;",'STC Bank'!$M$9:$M$500,"&lt;&gt;")</x:f>
        <x:v>3</x:v>
      </x:c>
      <x:c r="C10" s="2" t="n">
        <x:f>COUNTIFS('STC Bank'!$C$9:$C$500,"&lt;&gt;",'STC Bank'!$I$9:$I$500,"Active")</x:f>
        <x:v>1</x:v>
      </x:c>
      <x:c r="D10" s="2" t="n">
        <x:f>COUNTIFS('STC Bank'!$C$9:$C$500,"&lt;&gt;",'STC Bank'!$I$9:$I$500,"End Date Not Stated")</x:f>
        <x:v>1</x:v>
      </x:c>
      <x:c r="E10" s="2" t="n">
        <x:f>COUNTIFS('STC Bank'!$C$9:$C$500,"&lt;&gt;",'STC Bank'!$I$9:$I$500,"Expiring ≤7 Days")</x:f>
        <x:v>1</x:v>
      </x:c>
      <x:c r="F10" s="2" t="n">
        <x:f>COUNTIFS('STC Bank'!$C$9:$C$500,"&lt;&gt;",'STC Bank'!$I$9:$I$500,"Expiring 8–30 Days")</x:f>
        <x:v>0</x:v>
      </x:c>
      <x:c r="G10" s="2" t="n">
        <x:f>COUNTIFS('STC Bank'!$C$9:$C$500,"&lt;&gt;",'STC Bank'!$B$9:$B$500,"Remittance")</x:f>
        <x:v>0</x:v>
      </x:c>
      <x:c r="H10" s="20" t="n">
        <x:f>COUNTIFS('STC Bank'!$C$9:$C$500,"&lt;&gt;",'STC Bank'!$B$9:$B$500,"Musaned")</x:f>
        <x:v>0</x:v>
      </x:c>
      <x:c r="I10" s="2" t="n">
        <x:f>COUNTIFS('STC Bank'!$C$9:$C$500,"&lt;&gt;",'STC Bank'!$B$9:$B$500,"SADAD")</x:f>
        <x:v>0</x:v>
      </x:c>
      <x:c r="J10" s="2" t="n">
        <x:f>COUNTIFS('STC Bank'!$C$9:$C$500,"&lt;&gt;",'STC Bank'!$B$9:$B$500,"Card")</x:f>
        <x:v>3</x:v>
      </x:c>
      <x:c r="K10" s="2" t="n">
        <x:f>COUNTIFS('STC Bank'!$C$9:$C$500,"&lt;&gt;",'STC Bank'!$B$9:$B$500,"Engagement")</x:f>
        <x:v>0</x:v>
      </x:c>
      <x:c r="L10" s="2" t="n">
        <x:f>COUNTIFS('STC Bank'!$C$9:$C$500,"&lt;&gt;",'STC Bank'!$B$9:$B$500,"Other")</x:f>
        <x:v>0</x:v>
      </x:c>
      <x:c r="M10" s="2" t="n">
        <x:f>F54</x:f>
        <x:v>98</x:v>
      </x:c>
    </x:row>
    <x:row r="11" ht="28" customHeight="1">
      <x:c r="A11" s="2" t="str">
        <x:v>barq</x:v>
      </x:c>
      <x:c r="B11" s="2" t="n">
        <x:f>COUNTIFS('barq'!$C$9:$C$500,"&lt;&gt;",'barq'!$M$9:$M$500,"&lt;&gt;")</x:f>
        <x:v>6</x:v>
      </x:c>
      <x:c r="C11" s="2" t="n">
        <x:f>COUNTIFS('barq'!$C$9:$C$500,"&lt;&gt;",'barq'!$I$9:$I$500,"Active")</x:f>
        <x:v>0</x:v>
      </x:c>
      <x:c r="D11" s="2" t="n">
        <x:f>COUNTIFS('barq'!$C$9:$C$500,"&lt;&gt;",'barq'!$I$9:$I$500,"End Date Not Stated")</x:f>
        <x:v>6</x:v>
      </x:c>
      <x:c r="E11" s="2" t="n">
        <x:f>COUNTIFS('barq'!$C$9:$C$500,"&lt;&gt;",'barq'!$I$9:$I$500,"Expiring ≤7 Days")</x:f>
        <x:v>0</x:v>
      </x:c>
      <x:c r="F11" s="2" t="n">
        <x:f>COUNTIFS('barq'!$C$9:$C$500,"&lt;&gt;",'barq'!$I$9:$I$500,"Expiring 8–30 Days")</x:f>
        <x:v>0</x:v>
      </x:c>
      <x:c r="G11" s="2" t="n">
        <x:f>COUNTIFS('barq'!$C$9:$C$500,"&lt;&gt;",'barq'!$B$9:$B$500,"Remittance")</x:f>
        <x:v>2</x:v>
      </x:c>
      <x:c r="H11" s="20" t="n">
        <x:f>COUNTIFS('barq'!$C$9:$C$500,"&lt;&gt;",'barq'!$B$9:$B$500,"Musaned")</x:f>
        <x:v>0</x:v>
      </x:c>
      <x:c r="I11" s="2" t="n">
        <x:f>COUNTIFS('barq'!$C$9:$C$500,"&lt;&gt;",'barq'!$B$9:$B$500,"SADAD")</x:f>
        <x:v>0</x:v>
      </x:c>
      <x:c r="J11" s="2" t="n">
        <x:f>COUNTIFS('barq'!$C$9:$C$500,"&lt;&gt;",'barq'!$B$9:$B$500,"Card")</x:f>
        <x:v>1</x:v>
      </x:c>
      <x:c r="K11" s="2" t="n">
        <x:f>COUNTIFS('barq'!$C$9:$C$500,"&lt;&gt;",'barq'!$B$9:$B$500,"Engagement")</x:f>
        <x:v>2</x:v>
      </x:c>
      <x:c r="L11" s="2" t="n">
        <x:f>COUNTIFS('barq'!$C$9:$C$500,"&lt;&gt;",'barq'!$B$9:$B$500,"Other")</x:f>
        <x:v>1</x:v>
      </x:c>
      <x:c r="M11" s="2" t="n">
        <x:f>F55</x:f>
        <x:v>61</x:v>
      </x:c>
    </x:row>
    <x:row r="12" ht="28" customHeight="1">
      <x:c r="A12" s="2" t="str">
        <x:v>Mobily Pay</x:v>
      </x:c>
      <x:c r="B12" s="2" t="n">
        <x:f>COUNTIFS('Mobily Pay'!$C$9:$C$500,"&lt;&gt;",'Mobily Pay'!$M$9:$M$500,"&lt;&gt;")</x:f>
        <x:v>6</x:v>
      </x:c>
      <x:c r="C12" s="2" t="n">
        <x:f>COUNTIFS('Mobily Pay'!$C$9:$C$500,"&lt;&gt;",'Mobily Pay'!$I$9:$I$500,"Active")</x:f>
        <x:v>2</x:v>
      </x:c>
      <x:c r="D12" s="2" t="n">
        <x:f>COUNTIFS('Mobily Pay'!$C$9:$C$500,"&lt;&gt;",'Mobily Pay'!$I$9:$I$500,"End Date Not Stated")</x:f>
        <x:v>2</x:v>
      </x:c>
      <x:c r="E12" s="2" t="n">
        <x:f>COUNTIFS('Mobily Pay'!$C$9:$C$500,"&lt;&gt;",'Mobily Pay'!$I$9:$I$500,"Expiring ≤7 Days")</x:f>
        <x:v>2</x:v>
      </x:c>
      <x:c r="F12" s="2" t="n">
        <x:f>COUNTIFS('Mobily Pay'!$C$9:$C$500,"&lt;&gt;",'Mobily Pay'!$I$9:$I$500,"Expiring 8–30 Days")</x:f>
        <x:v>0</x:v>
      </x:c>
      <x:c r="G12" s="2" t="n">
        <x:f>COUNTIFS('Mobily Pay'!$C$9:$C$500,"&lt;&gt;",'Mobily Pay'!$B$9:$B$500,"Remittance")</x:f>
        <x:v>3</x:v>
      </x:c>
      <x:c r="H12" s="20" t="n">
        <x:f>COUNTIFS('Mobily Pay'!$C$9:$C$500,"&lt;&gt;",'Mobily Pay'!$B$9:$B$500,"Musaned")</x:f>
        <x:v>0</x:v>
      </x:c>
      <x:c r="I12" s="2" t="n">
        <x:f>COUNTIFS('Mobily Pay'!$C$9:$C$500,"&lt;&gt;",'Mobily Pay'!$B$9:$B$500,"SADAD")</x:f>
        <x:v>0</x:v>
      </x:c>
      <x:c r="J12" s="2" t="n">
        <x:f>COUNTIFS('Mobily Pay'!$C$9:$C$500,"&lt;&gt;",'Mobily Pay'!$B$9:$B$500,"Card")</x:f>
        <x:v>0</x:v>
      </x:c>
      <x:c r="K12" s="2" t="n">
        <x:f>COUNTIFS('Mobily Pay'!$C$9:$C$500,"&lt;&gt;",'Mobily Pay'!$B$9:$B$500,"Engagement")</x:f>
        <x:v>0</x:v>
      </x:c>
      <x:c r="L12" s="2" t="n">
        <x:f>COUNTIFS('Mobily Pay'!$C$9:$C$500,"&lt;&gt;",'Mobily Pay'!$B$9:$B$500,"Other")</x:f>
        <x:v>3</x:v>
      </x:c>
      <x:c r="M12" s="2" t="n">
        <x:f>F56</x:f>
        <x:v>74</x:v>
      </x:c>
    </x:row>
    <x:row r="13" ht="28" customHeight="1">
      <x:c r="A13" s="2" t="str">
        <x:v>tiqmo</x:v>
      </x:c>
      <x:c r="B13" s="2" t="n">
        <x:f>COUNTIFS('tiqmo'!$C$9:$C$500,"&lt;&gt;",'tiqmo'!$M$9:$M$500,"&lt;&gt;")</x:f>
        <x:v>5</x:v>
      </x:c>
      <x:c r="C13" s="2" t="n">
        <x:f>COUNTIFS('tiqmo'!$C$9:$C$500,"&lt;&gt;",'tiqmo'!$I$9:$I$500,"Active")</x:f>
        <x:v>1</x:v>
      </x:c>
      <x:c r="D13" s="2" t="n">
        <x:f>COUNTIFS('tiqmo'!$C$9:$C$500,"&lt;&gt;",'tiqmo'!$I$9:$I$500,"End Date Not Stated")</x:f>
        <x:v>4</x:v>
      </x:c>
      <x:c r="E13" s="2" t="n">
        <x:f>COUNTIFS('tiqmo'!$C$9:$C$500,"&lt;&gt;",'tiqmo'!$I$9:$I$500,"Expiring ≤7 Days")</x:f>
        <x:v>0</x:v>
      </x:c>
      <x:c r="F13" s="2" t="n">
        <x:f>COUNTIFS('tiqmo'!$C$9:$C$500,"&lt;&gt;",'tiqmo'!$I$9:$I$500,"Expiring 8–30 Days")</x:f>
        <x:v>0</x:v>
      </x:c>
      <x:c r="G13" s="2" t="n">
        <x:f>COUNTIFS('tiqmo'!$C$9:$C$500,"&lt;&gt;",'tiqmo'!$B$9:$B$500,"Remittance")</x:f>
        <x:v>2</x:v>
      </x:c>
      <x:c r="H13" s="20" t="n">
        <x:f>COUNTIFS('tiqmo'!$C$9:$C$500,"&lt;&gt;",'tiqmo'!$B$9:$B$500,"Musaned")</x:f>
        <x:v>0</x:v>
      </x:c>
      <x:c r="I13" s="2" t="n">
        <x:f>COUNTIFS('tiqmo'!$C$9:$C$500,"&lt;&gt;",'tiqmo'!$B$9:$B$500,"SADAD")</x:f>
        <x:v>1</x:v>
      </x:c>
      <x:c r="J13" s="2" t="n">
        <x:f>COUNTIFS('tiqmo'!$C$9:$C$500,"&lt;&gt;",'tiqmo'!$B$9:$B$500,"Card")</x:f>
        <x:v>1</x:v>
      </x:c>
      <x:c r="K13" s="2" t="n">
        <x:f>COUNTIFS('tiqmo'!$C$9:$C$500,"&lt;&gt;",'tiqmo'!$B$9:$B$500,"Engagement")</x:f>
        <x:v>1</x:v>
      </x:c>
      <x:c r="L13" s="2" t="n">
        <x:f>COUNTIFS('tiqmo'!$C$9:$C$500,"&lt;&gt;",'tiqmo'!$B$9:$B$500,"Other")</x:f>
        <x:v>0</x:v>
      </x:c>
      <x:c r="M13" s="2" t="n">
        <x:f>F57</x:f>
        <x:v>38</x:v>
      </x:c>
    </x:row>
    <x:row r="14" ht="28" customHeight="1">
      <x:c r="A14" s="2" t="str">
        <x:v>urpay</x:v>
      </x:c>
      <x:c r="B14" s="2" t="n">
        <x:f>COUNTIFS('urpay'!$C$9:$C$500,"&lt;&gt;",'urpay'!$M$9:$M$500,"&lt;&gt;")</x:f>
        <x:v>3</x:v>
      </x:c>
      <x:c r="C14" s="2" t="n">
        <x:f>COUNTIFS('urpay'!$C$9:$C$500,"&lt;&gt;",'urpay'!$I$9:$I$500,"Active")</x:f>
        <x:v>0</x:v>
      </x:c>
      <x:c r="D14" s="2" t="n">
        <x:f>COUNTIFS('urpay'!$C$9:$C$500,"&lt;&gt;",'urpay'!$I$9:$I$500,"End Date Not Stated")</x:f>
        <x:v>3</x:v>
      </x:c>
      <x:c r="E14" s="2" t="n">
        <x:f>COUNTIFS('urpay'!$C$9:$C$500,"&lt;&gt;",'urpay'!$I$9:$I$500,"Expiring ≤7 Days")</x:f>
        <x:v>0</x:v>
      </x:c>
      <x:c r="F14" s="2" t="n">
        <x:f>COUNTIFS('urpay'!$C$9:$C$500,"&lt;&gt;",'urpay'!$I$9:$I$500,"Expiring 8–30 Days")</x:f>
        <x:v>0</x:v>
      </x:c>
      <x:c r="G14" s="2" t="n">
        <x:f>COUNTIFS('urpay'!$C$9:$C$500,"&lt;&gt;",'urpay'!$B$9:$B$500,"Remittance")</x:f>
        <x:v>1</x:v>
      </x:c>
      <x:c r="H14" s="20" t="n">
        <x:f>COUNTIFS('urpay'!$C$9:$C$500,"&lt;&gt;",'urpay'!$B$9:$B$500,"Musaned")</x:f>
        <x:v>1</x:v>
      </x:c>
      <x:c r="I14" s="2" t="n">
        <x:f>COUNTIFS('urpay'!$C$9:$C$500,"&lt;&gt;",'urpay'!$B$9:$B$500,"SADAD")</x:f>
        <x:v>0</x:v>
      </x:c>
      <x:c r="J14" s="2" t="n">
        <x:f>COUNTIFS('urpay'!$C$9:$C$500,"&lt;&gt;",'urpay'!$B$9:$B$500,"Card")</x:f>
        <x:v>1</x:v>
      </x:c>
      <x:c r="K14" s="2" t="n">
        <x:f>COUNTIFS('urpay'!$C$9:$C$500,"&lt;&gt;",'urpay'!$B$9:$B$500,"Engagement")</x:f>
        <x:v>0</x:v>
      </x:c>
      <x:c r="L14" s="2" t="n">
        <x:f>COUNTIFS('urpay'!$C$9:$C$500,"&lt;&gt;",'urpay'!$B$9:$B$500,"Other")</x:f>
        <x:v>0</x:v>
      </x:c>
      <x:c r="M14" s="2" t="n">
        <x:f>F58</x:f>
        <x:v>61</x:v>
      </x:c>
    </x:row>
    <x:row r="15" ht="28" customHeight="1">
      <x:c r="A15" s="2" t="str">
        <x:v>alinma pay</x:v>
      </x:c>
      <x:c r="B15" s="2" t="n">
        <x:f>COUNTIFS('alinma pay'!$C$9:$C$500,"&lt;&gt;",'alinma pay'!$M$9:$M$500,"&lt;&gt;")</x:f>
        <x:v>8</x:v>
      </x:c>
      <x:c r="C15" s="2" t="n">
        <x:f>COUNTIFS('alinma pay'!$C$9:$C$500,"&lt;&gt;",'alinma pay'!$I$9:$I$500,"Active")</x:f>
        <x:v>2</x:v>
      </x:c>
      <x:c r="D15" s="2" t="n">
        <x:f>COUNTIFS('alinma pay'!$C$9:$C$500,"&lt;&gt;",'alinma pay'!$I$9:$I$500,"End Date Not Stated")</x:f>
        <x:v>4</x:v>
      </x:c>
      <x:c r="E15" s="2" t="n">
        <x:f>COUNTIFS('alinma pay'!$C$9:$C$500,"&lt;&gt;",'alinma pay'!$I$9:$I$500,"Expiring ≤7 Days")</x:f>
        <x:v>2</x:v>
      </x:c>
      <x:c r="F15" s="2" t="n">
        <x:f>COUNTIFS('alinma pay'!$C$9:$C$500,"&lt;&gt;",'alinma pay'!$I$9:$I$500,"Expiring 8–30 Days")</x:f>
        <x:v>0</x:v>
      </x:c>
      <x:c r="G15" s="2" t="n">
        <x:f>COUNTIFS('alinma pay'!$C$9:$C$500,"&lt;&gt;",'alinma pay'!$B$9:$B$500,"Remittance")</x:f>
        <x:v>2</x:v>
      </x:c>
      <x:c r="H15" s="20" t="n">
        <x:f>COUNTIFS('alinma pay'!$C$9:$C$500,"&lt;&gt;",'alinma pay'!$B$9:$B$500,"Musaned")</x:f>
        <x:v>2</x:v>
      </x:c>
      <x:c r="I15" s="2" t="n">
        <x:f>COUNTIFS('alinma pay'!$C$9:$C$500,"&lt;&gt;",'alinma pay'!$B$9:$B$500,"SADAD")</x:f>
        <x:v>0</x:v>
      </x:c>
      <x:c r="J15" s="2" t="n">
        <x:f>COUNTIFS('alinma pay'!$C$9:$C$500,"&lt;&gt;",'alinma pay'!$B$9:$B$500,"Card")</x:f>
        <x:v>2</x:v>
      </x:c>
      <x:c r="K15" s="2" t="n">
        <x:f>COUNTIFS('alinma pay'!$C$9:$C$500,"&lt;&gt;",'alinma pay'!$B$9:$B$500,"Engagement")</x:f>
        <x:v>0</x:v>
      </x:c>
      <x:c r="L15" s="2" t="n">
        <x:f>COUNTIFS('alinma pay'!$C$9:$C$500,"&lt;&gt;",'alinma pay'!$B$9:$B$500,"Other")</x:f>
        <x:v>2</x:v>
      </x:c>
      <x:c r="M15" s="2" t="n">
        <x:f>F59</x:f>
        <x:v>32</x:v>
      </x:c>
    </x:row>
    <x:row r="18" ht="16.5">
      <x:c r="A18" s="45" t="str">
        <x:v>Active Campaign Count by Category — Merchant Offers Excluded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tr">
        <x:v>Campaign Category</x:v>
      </x:c>
      <x:c r="Y18" s="30" t="str">
        <x:v>Market Count</x:v>
      </x:c>
    </x:row>
    <x:row r="19">
      <x:c r="X19" s="30" t="str">
        <x:f>B20</x:f>
        <x:v>Remittance</x:v>
      </x:c>
      <x:c r="Y19" s="30" t="n">
        <x:f>B27</x:f>
        <x:v>10</x:v>
      </x:c>
    </x:row>
    <x:row r="20" ht="26.649999618530273" customHeight="1">
      <x:c r="A20" s="22" t="str">
        <x:v>Competitor</x:v>
      </x:c>
      <x:c r="B20" s="19" t="str">
        <x:v>Remittance</x:v>
      </x:c>
      <x:c r="C20" s="22" t="str">
        <x:v>Musaned</x:v>
      </x:c>
      <x:c r="D20" s="22" t="str">
        <x:v>SADAD</x:v>
      </x:c>
      <x:c r="E20" s="22" t="str">
        <x:v>Card</x:v>
      </x:c>
      <x:c r="F20" s="22" t="str">
        <x:v>Engagement</x:v>
      </x:c>
      <x:c r="G20" s="22" t="str">
        <x:v>Other</x:v>
      </x:c>
      <x:c r="X20" s="30" t="str">
        <x:f>C20</x:f>
        <x:v>Musaned</x:v>
      </x:c>
      <x:c r="Y20" s="30" t="n">
        <x:f>C27</x:f>
        <x:v>3</x:v>
      </x:c>
    </x:row>
    <x:row r="21">
      <x:c r="A21" s="25" t="str">
        <x:v>STC Bank</x:v>
      </x:c>
      <x:c r="B21" s="24" t="n">
        <x:f>G10</x:f>
        <x:v>0</x:v>
      </x:c>
      <x:c r="C21" s="25" t="n">
        <x:f>H10</x:f>
        <x:v>0</x:v>
      </x:c>
      <x:c r="D21" s="25" t="n">
        <x:f>I10</x:f>
        <x:v>0</x:v>
      </x:c>
      <x:c r="E21" s="25" t="n">
        <x:f>J10</x:f>
        <x:v>3</x:v>
      </x:c>
      <x:c r="F21" s="25" t="n">
        <x:f>K10</x:f>
        <x:v>0</x:v>
      </x:c>
      <x:c r="G21" s="25" t="n">
        <x:f>L10</x:f>
        <x:v>0</x:v>
      </x:c>
      <x:c r="X21" s="30" t="str">
        <x:f>D20</x:f>
        <x:v>SADAD</x:v>
      </x:c>
      <x:c r="Y21" s="30" t="n">
        <x:f>D27</x:f>
        <x:v>1</x:v>
      </x:c>
    </x:row>
    <x:row r="22">
      <x:c r="A22" s="25" t="str">
        <x:v>barq</x:v>
      </x:c>
      <x:c r="B22" s="24" t="n">
        <x:f>G11</x:f>
        <x:v>2</x:v>
      </x:c>
      <x:c r="C22" s="25" t="n">
        <x:f>H11</x:f>
        <x:v>0</x:v>
      </x:c>
      <x:c r="D22" s="25" t="n">
        <x:f>I11</x:f>
        <x:v>0</x:v>
      </x:c>
      <x:c r="E22" s="25" t="n">
        <x:f>J11</x:f>
        <x:v>1</x:v>
      </x:c>
      <x:c r="F22" s="25" t="n">
        <x:f>K11</x:f>
        <x:v>2</x:v>
      </x:c>
      <x:c r="G22" s="25" t="n">
        <x:f>L11</x:f>
        <x:v>1</x:v>
      </x:c>
      <x:c r="X22" s="30" t="str">
        <x:f>E20</x:f>
        <x:v>Card</x:v>
      </x:c>
      <x:c r="Y22" s="30" t="n">
        <x:f>E27</x:f>
        <x:v>8</x:v>
      </x:c>
    </x:row>
    <x:row r="23">
      <x:c r="A23" s="25" t="str">
        <x:v>Mobily Pay</x:v>
      </x:c>
      <x:c r="B23" s="24" t="n">
        <x:f>G12</x:f>
        <x:v>3</x:v>
      </x:c>
      <x:c r="C23" s="25" t="n">
        <x:f>H12</x:f>
        <x:v>0</x:v>
      </x:c>
      <x:c r="D23" s="25" t="n">
        <x:f>I12</x:f>
        <x:v>0</x:v>
      </x:c>
      <x:c r="E23" s="25" t="n">
        <x:f>J12</x:f>
        <x:v>0</x:v>
      </x:c>
      <x:c r="F23" s="25" t="n">
        <x:f>K12</x:f>
        <x:v>0</x:v>
      </x:c>
      <x:c r="G23" s="25" t="n">
        <x:f>L12</x:f>
        <x:v>3</x:v>
      </x:c>
      <x:c r="X23" s="30" t="str">
        <x:f>F20</x:f>
        <x:v>Engagement</x:v>
      </x:c>
      <x:c r="Y23" s="30" t="n">
        <x:f>F27</x:f>
        <x:v>3</x:v>
      </x:c>
    </x:row>
    <x:row r="24">
      <x:c r="A24" s="25" t="str">
        <x:v>tiqmo</x:v>
      </x:c>
      <x:c r="B24" s="24" t="n">
        <x:f>G13</x:f>
        <x:v>2</x:v>
      </x:c>
      <x:c r="C24" s="25" t="n">
        <x:f>H13</x:f>
        <x:v>0</x:v>
      </x:c>
      <x:c r="D24" s="25" t="n">
        <x:f>I13</x:f>
        <x:v>1</x:v>
      </x:c>
      <x:c r="E24" s="25" t="n">
        <x:f>J13</x:f>
        <x:v>1</x:v>
      </x:c>
      <x:c r="F24" s="25" t="n">
        <x:f>K13</x:f>
        <x:v>1</x:v>
      </x:c>
      <x:c r="G24" s="25" t="n">
        <x:f>L13</x:f>
        <x:v>0</x:v>
      </x:c>
      <x:c r="X24" s="30" t="str">
        <x:f>G20</x:f>
        <x:v>Other</x:v>
      </x:c>
      <x:c r="Y24" s="30" t="n">
        <x:f>G27</x:f>
        <x:v>6</x:v>
      </x:c>
    </x:row>
    <x:row r="25">
      <x:c r="A25" s="25" t="str">
        <x:v>urpay</x:v>
      </x:c>
      <x:c r="B25" s="24" t="n">
        <x:f>G14</x:f>
        <x:v>1</x:v>
      </x:c>
      <x:c r="C25" s="25" t="n">
        <x:f>H14</x:f>
        <x:v>1</x:v>
      </x:c>
      <x:c r="D25" s="25" t="n">
        <x:f>I14</x:f>
        <x:v>0</x:v>
      </x:c>
      <x:c r="E25" s="25" t="n">
        <x:f>J14</x:f>
        <x:v>1</x:v>
      </x:c>
      <x:c r="F25" s="25" t="n">
        <x:f>K14</x:f>
        <x:v>0</x:v>
      </x:c>
      <x:c r="G25" s="25" t="n">
        <x:f>L14</x:f>
        <x:v>0</x:v>
      </x:c>
      <x:c r="X25" s="30"/>
      <x:c r="Y25" s="30"/>
    </x:row>
    <x:row r="26">
      <x:c r="A26" s="25" t="str">
        <x:v>alinma pay</x:v>
      </x:c>
      <x:c r="B26" s="24" t="n">
        <x:f>G15</x:f>
        <x:v>2</x:v>
      </x:c>
      <x:c r="C26" s="25" t="n">
        <x:f>H15</x:f>
        <x:v>2</x:v>
      </x:c>
      <x:c r="D26" s="25" t="n">
        <x:f>I15</x:f>
        <x:v>0</x:v>
      </x:c>
      <x:c r="E26" s="25" t="n">
        <x:f>J15</x:f>
        <x:v>2</x:v>
      </x:c>
      <x:c r="F26" s="25" t="n">
        <x:f>K15</x:f>
        <x:v>0</x:v>
      </x:c>
      <x:c r="G26" s="25" t="n">
        <x:f>L15</x:f>
        <x:v>2</x:v>
      </x:c>
      <x:c r="X26" s="30"/>
      <x:c r="Y26" s="30"/>
    </x:row>
    <x:row r="27">
      <x:c r="A27" s="23" t="str">
        <x:v>Market Total</x:v>
      </x:c>
      <x:c r="B27" s="24" t="n">
        <x:f t="shared" ref="B27:G27" si="0">SUM(B21:B26)</x:f>
        <x:v>10</x:v>
      </x:c>
      <x:c r="C27" s="23" t="n">
        <x:f t="shared" si="0">SUM(C21:C26)</x:f>
        <x:v>3</x:v>
      </x:c>
      <x:c r="D27" s="23" t="n">
        <x:f t="shared" si="0">SUM(D21:D26)</x:f>
        <x:v>1</x:v>
      </x:c>
      <x:c r="E27" s="23" t="n">
        <x:f t="shared" si="0">SUM(E21:E26)</x:f>
        <x:v>8</x:v>
      </x:c>
      <x:c r="F27" s="23" t="n">
        <x:f t="shared" si="0">SUM(F21:F26)</x:f>
        <x:v>3</x:v>
      </x:c>
      <x:c r="G27" s="23" t="n">
        <x:f t="shared" si="0">SUM(G21:G26)</x:f>
        <x:v>6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tr">
        <x:v>Active Remittance Campaigns by Competitor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tr">
        <x:v>Competitor</x:v>
      </x:c>
      <x:c r="Y30" s="30" t="str">
        <x:v>Remittance Campaigns</x:v>
      </x:c>
    </x:row>
    <x:row r="31" ht="20" customHeight="1">
      <x:c r="X31" s="30" t="str">
        <x:f t="shared" ref="X31:X36" si="1">A10</x:f>
        <x:v>STC Bank</x:v>
      </x:c>
      <x:c r="Y31" s="30" t="n">
        <x:f>G10</x:f>
        <x:v>0</x:v>
      </x:c>
    </x:row>
    <x:row r="32" ht="22.649999618530273" customHeight="1">
      <x:c r="A32" s="31" t="str">
        <x:v>Competitor</x:v>
      </x:c>
      <x:c r="B32" s="31" t="str">
        <x:v>Remittance Campaigns</x:v>
      </x:c>
      <x:c r="C32" s="31" t="str">
        <x:v>Share of Current Campaigns</x:v>
      </x:c>
      <x:c r="D32" s="31"/>
      <x:c r="E32" s="31"/>
      <x:c r="X32" s="30" t="str">
        <x:f t="shared" si="1"/>
        <x:v>barq</x:v>
      </x:c>
      <x:c r="Y32" s="30" t="n">
        <x:f>G11</x:f>
        <x:v>2</x:v>
      </x:c>
    </x:row>
    <x:row r="33" ht="17.399999618530273" customHeight="1">
      <x:c r="A33" s="32" t="str">
        <x:v>STC Bank</x:v>
      </x:c>
      <x:c r="B33" s="32" t="n">
        <x:f>G10</x:f>
        <x:v>0</x:v>
      </x:c>
      <x:c r="C33" s="128" t="n">
        <x:f>IFERROR(B33/B10,0)</x:f>
        <x:v>0.0</x:v>
      </x:c>
      <x:c r="D33" s="32"/>
      <x:c r="E33" s="32"/>
      <x:c r="X33" s="30" t="str">
        <x:f t="shared" si="1"/>
        <x:v>Mobily Pay</x:v>
      </x:c>
      <x:c r="Y33" s="30" t="n">
        <x:f>G12</x:f>
        <x:v>3</x:v>
      </x:c>
    </x:row>
    <x:row r="34" ht="17.399999618530273" customHeight="1">
      <x:c r="A34" s="32" t="str">
        <x:v>barq</x:v>
      </x:c>
      <x:c r="B34" s="32" t="n">
        <x:f>G11</x:f>
        <x:v>2</x:v>
      </x:c>
      <x:c r="C34" s="128" t="n">
        <x:f>IFERROR(B34/B11,0)</x:f>
        <x:v>0.3333333333333333</x:v>
      </x:c>
      <x:c r="D34" s="32"/>
      <x:c r="E34" s="32"/>
      <x:c r="X34" s="30" t="str">
        <x:f t="shared" si="1"/>
        <x:v>tiqmo</x:v>
      </x:c>
      <x:c r="Y34" s="30" t="n">
        <x:f>G13</x:f>
        <x:v>2</x:v>
      </x:c>
    </x:row>
    <x:row r="35" ht="17.399999618530273" customHeight="1">
      <x:c r="A35" s="32" t="str">
        <x:v>Mobily Pay</x:v>
      </x:c>
      <x:c r="B35" s="32" t="n">
        <x:f>G12</x:f>
        <x:v>3</x:v>
      </x:c>
      <x:c r="C35" s="128" t="n">
        <x:f>IFERROR(B35/B12,0)</x:f>
        <x:v>0.5</x:v>
      </x:c>
      <x:c r="D35" s="32"/>
      <x:c r="E35" s="32"/>
      <x:c r="X35" s="30" t="str">
        <x:f t="shared" si="1"/>
        <x:v>urpay</x:v>
      </x:c>
      <x:c r="Y35" s="30" t="n">
        <x:f>G14</x:f>
        <x:v>1</x:v>
      </x:c>
    </x:row>
    <x:row r="36" ht="17.399999618530273" customHeight="1">
      <x:c r="A36" s="32" t="str">
        <x:v>tiqmo</x:v>
      </x:c>
      <x:c r="B36" s="32" t="n">
        <x:f>G13</x:f>
        <x:v>2</x:v>
      </x:c>
      <x:c r="C36" s="128" t="n">
        <x:f>IFERROR(B36/B13,0)</x:f>
        <x:v>0.4</x:v>
      </x:c>
      <x:c r="D36" s="32"/>
      <x:c r="E36" s="32"/>
      <x:c r="X36" s="30" t="str">
        <x:f t="shared" si="1"/>
        <x:v>alinma pay</x:v>
      </x:c>
      <x:c r="Y36" s="30" t="n">
        <x:f>G15</x:f>
        <x:v>2</x:v>
      </x:c>
    </x:row>
    <x:row r="37" ht="17.399999618530273" customHeight="1">
      <x:c r="A37" s="32" t="str">
        <x:v>urpay</x:v>
      </x:c>
      <x:c r="B37" s="32" t="n">
        <x:f>G14</x:f>
        <x:v>1</x:v>
      </x:c>
      <x:c r="C37" s="128" t="n">
        <x:f>IFERROR(B37/B14,0)</x:f>
        <x:v>0.3333333333333333</x:v>
      </x:c>
      <x:c r="D37" s="32"/>
      <x:c r="E37" s="32"/>
    </x:row>
    <x:row r="38" ht="17.399999618530273" customHeight="1">
      <x:c r="A38" s="32" t="str">
        <x:v>alinma pay</x:v>
      </x:c>
      <x:c r="B38" s="32" t="n">
        <x:f>G15</x:f>
        <x:v>2</x:v>
      </x:c>
      <x:c r="C38" s="128" t="n">
        <x:f>IFERROR(B38/B15,0)</x:f>
        <x:v>0.25</x:v>
      </x:c>
      <x:c r="D38" s="32"/>
      <x:c r="E38" s="32"/>
    </x:row>
    <x:row r="39">
      <x:c r="A39" s="33" t="str">
        <x:v>Market Total</x:v>
      </x:c>
      <x:c r="B39" s="33" t="n">
        <x:f>SUM(B33:B38)</x:f>
        <x:v>10</x:v>
      </x:c>
      <x:c r="C39" s="129" t="n">
        <x:f>IFERROR(B39/SUM(B10:B15),0)</x:f>
        <x:v>0.3225806451612903</x:v>
      </x:c>
      <x:c r="D39" s="33"/>
      <x:c r="E39" s="33"/>
    </x:row>
    <x:row r="42" ht="16.5">
      <x:c r="A42" s="45" t="str">
        <x:v>Dynamic Management Signals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inlineStr">
        <x:is>
          <x:t xml:space="preserve">Largest active campaign portfolio: alinma pay (8 campaigns).</x:t>
        </x:is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inlineStr">
        <x:is>
          <x:t xml:space="preserve">Active remittance campaigns: 10; market leader: Mobily Pay (3).</x:t>
        </x:is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inlineStr">
        <x:is>
          <x:t xml:space="preserve">Remittance share of active campaigns: 32%.</x:t>
        </x:is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inlineStr">
        <x:is>
          <x:t xml:space="preserve">Social posts in the latest 14 days: 364; most active: STC Bank (98).</x:t>
        </x:is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inlineStr">
        <x:is>
          <x:t xml:space="preserve">Campaigns expiring within 30 days: 5.</x:t>
        </x:is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tr">
        <x:v>Social Media Activity — Last 14 Days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tr">
        <x:v>Competitor</x:v>
      </x:c>
      <x:c r="B53" s="36" t="str">
        <x:v>Instagram</x:v>
      </x:c>
      <x:c r="C53" s="36" t="str">
        <x:v>X</x:v>
      </x:c>
      <x:c r="D53" s="36" t="str">
        <x:v>Facebook</x:v>
      </x:c>
      <x:c r="E53" s="36" t="str">
        <x:v>TikTok</x:v>
      </x:c>
      <x:c r="F53" s="36" t="str">
        <x:v>Total Posts</x:v>
      </x:c>
    </x:row>
    <x:row r="54" ht="18.649999618530273" customHeight="1">
      <x:c r="A54" s="32" t="str">
        <x:v>STC Bank</x:v>
      </x:c>
      <x:c r="B54" s="32" t="n">
        <x:v>21</x:v>
      </x:c>
      <x:c r="C54" s="32" t="n">
        <x:v>42</x:v>
      </x:c>
      <x:c r="D54" s="32" t="n">
        <x:v>33</x:v>
      </x:c>
      <x:c r="E54" s="32" t="n">
        <x:v>2</x:v>
      </x:c>
      <x:c r="F54" s="32" t="n">
        <x:f>SUM(B54:E54)</x:f>
        <x:v>98</x:v>
      </x:c>
    </x:row>
    <x:row r="55" ht="18.649999618530273" customHeight="1">
      <x:c r="A55" s="32" t="str">
        <x:v>barq</x:v>
      </x:c>
      <x:c r="B55" s="32" t="n">
        <x:v>8</x:v>
      </x:c>
      <x:c r="C55" s="32" t="n">
        <x:v>34</x:v>
      </x:c>
      <x:c r="D55" s="32" t="n">
        <x:v>16</x:v>
      </x:c>
      <x:c r="E55" s="32" t="n">
        <x:v>3</x:v>
      </x:c>
      <x:c r="F55" s="32" t="n">
        <x:f>SUM(B55:E55)</x:f>
        <x:v>61</x:v>
      </x:c>
    </x:row>
    <x:row r="56" ht="18.649999618530273" customHeight="1">
      <x:c r="A56" s="32" t="str">
        <x:v>Mobily Pay</x:v>
      </x:c>
      <x:c r="B56" s="32" t="n">
        <x:v>20</x:v>
      </x:c>
      <x:c r="C56" s="32" t="n">
        <x:v>29</x:v>
      </x:c>
      <x:c r="D56" s="32" t="n">
        <x:v>23</x:v>
      </x:c>
      <x:c r="E56" s="32" t="n">
        <x:v>2</x:v>
      </x:c>
      <x:c r="F56" s="32" t="n">
        <x:f>SUM(B56:E56)</x:f>
        <x:v>74</x:v>
      </x:c>
    </x:row>
    <x:row r="57" ht="18.649999618530273" customHeight="1">
      <x:c r="A57" s="32" t="str">
        <x:v>tiqmo</x:v>
      </x:c>
      <x:c r="B57" s="32" t="n">
        <x:v>14</x:v>
      </x:c>
      <x:c r="C57" s="32" t="n">
        <x:v>10</x:v>
      </x:c>
      <x:c r="D57" s="32" t="n">
        <x:v>14</x:v>
      </x:c>
      <x:c r="E57" s="32" t="n">
        <x:v>0</x:v>
      </x:c>
      <x:c r="F57" s="32" t="n">
        <x:f>SUM(B57:E57)</x:f>
        <x:v>38</x:v>
      </x:c>
    </x:row>
    <x:row r="58" ht="18.649999618530273" customHeight="1">
      <x:c r="A58" s="32" t="str">
        <x:v>urpay</x:v>
      </x:c>
      <x:c r="B58" s="32" t="n">
        <x:v>9</x:v>
      </x:c>
      <x:c r="C58" s="32" t="n">
        <x:v>31</x:v>
      </x:c>
      <x:c r="D58" s="32" t="n">
        <x:v>15</x:v>
      </x:c>
      <x:c r="E58" s="32" t="n">
        <x:v>6</x:v>
      </x:c>
      <x:c r="F58" s="32" t="n">
        <x:f>SUM(B58:E58)</x:f>
        <x:v>61</x:v>
      </x:c>
    </x:row>
    <x:row r="59" ht="18.649999618530273" customHeight="1">
      <x:c r="A59" s="32" t="str">
        <x:v>alinma pay</x:v>
      </x:c>
      <x:c r="B59" s="32" t="n">
        <x:v>9</x:v>
      </x:c>
      <x:c r="C59" s="32" t="n">
        <x:v>14</x:v>
      </x:c>
      <x:c r="D59" s="32" t="n">
        <x:v>8</x:v>
      </x:c>
      <x:c r="E59" s="32" t="n">
        <x:v>1</x:v>
      </x:c>
      <x:c r="F59" s="32" t="n">
        <x:f>SUM(B59:E59)</x:f>
        <x:v>32</x:v>
      </x:c>
    </x:row>
    <x:row r="60">
      <x:c r="A60" s="37" t="str">
        <x:v>Market Total</x:v>
      </x:c>
      <x:c r="B60" s="37" t="n">
        <x:f t="shared" ref="B60:F60" si="2">SUM(B54:B59)</x:f>
        <x:v>81</x:v>
      </x:c>
      <x:c r="C60" s="37" t="n">
        <x:f t="shared" si="2">SUM(C54:C59)</x:f>
        <x:v>160</x:v>
      </x:c>
      <x:c r="D60" s="37" t="n">
        <x:f t="shared" si="2">SUM(D54:D59)</x:f>
        <x:v>109</x:v>
      </x:c>
      <x:c r="E60" s="37" t="n">
        <x:f t="shared" si="2">SUM(E54:E59)</x:f>
        <x:v>14</x:v>
      </x:c>
      <x:c r="F60" s="37" t="n">
        <x:f t="shared" si="2">SUM(F54:F59)</x:f>
        <x:v>364</x:v>
      </x:c>
    </x:row>
    <x:row r="63" ht="15.5">
      <x:c r="A63" s="51" t="str">
        <x:v>Reporting Convention and Rationale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tr">
        <x:v>• Dashboard campaign KPIs include active approved campaigns only; expired campaigns are excluded.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tr">
        <x:v>• Merchant offers are excluded from Dashboard KPIs and appear only as a count in each competitor sheet.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tr">
        <x:v>• Social Media Activity counts unique direct official posts published within the latest 14-day window.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tr">
        <x:v>• Remittance is the priority target category and is highlighted in blue throughout the workbook.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8ecfa3cc6644f9d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0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Targeted Cash Reward on International Purchases</x:t>
        </x:is>
      </x:c>
      <x:c r="D9" s="4" t="inlineStr">
        <x:is>
          <x:t xml:space="preserve">Selected customers can earn a cash amount after meeting the international-spend requirement stated in an STC Bank SMS.</x:t>
        </x:is>
      </x:c>
      <x:c r="E9" s="5"/>
      <x:c r="F9" s="5"/>
      <x:c r="G9" s="5" t="n">
        <x:v>46297.0</x:v>
      </x:c>
      <x:c r="H9" s="7" t="n">
        <x:f t="shared" ref="H9:H53" si="1">IF(OR(C9="",G9=""),"",G9-TODAY())</x:f>
        <x:v>36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 t="inlineStr">
        <x:is>
          <x:t xml:space="preserve">International POS and e-commerce purchases</x:t>
        </x:is>
      </x:c>
      <x:c r="K9" s="4" t="inlineStr">
        <x:is>
          <x:t xml:space="preserve">Cash amount specified in the customer SMS after meeting the stated minimum spend</x:t>
        </x:is>
      </x:c>
      <x:c r="L9" s="4" t="inlineStr">
        <x:is>
          <x:t xml:space="preserve">Selected customers who received the offer SMS; STC Bank Visa payment cards (Classic, Platinum, Signature), digital or physical</x:t>
        </x:is>
      </x:c>
      <x:c r="M9" s="9" t="str">
        <x:f>IF(C9="","",IF(N9&lt;&gt;"",N9,IF(O9&lt;&gt;"",O9,IF(P9&lt;&gt;"",P9,IF(Q9&lt;&gt;"",Q9,IF(R9&lt;&gt;"",R9,""))))))</x:f>
        <x:v>https://stcbank.com.sa/en/web/guest/w/blt-cash</x:v>
      </x:c>
      <x:c r="N9" s="4" t="inlineStr">
        <x:is>
          <x:t xml:space="preserve">https://stcbank.com.sa/en/web/guest/w/blt-cash</x:t>
        </x:is>
      </x:c>
      <x:c r="O9" s="4"/>
      <x:c r="P9" s="4"/>
      <x:c r="Q9" s="63"/>
      <x:c r="R9" s="63"/>
      <x:c r="S9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 t="n">
        <x:v>46217.0</x:v>
      </x:c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0" s="8" t="n">
        <x:v>5</x:v>
      </x:c>
      <x:c r="U10" s="35" t="inlineStr">
        <x:is>
          <x:t xml:space="preserve">Instagram, X, Facebook, 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47724ef1e6e477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9a97a54acd1e4495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https://mobilypay.sa/ar/offers/offer-57.html</x:v>
      </x:c>
      <x:c r="N9" s="63" t="inlineStr">
        <x:is>
          <x:t xml:space="preserve">https://mobilypay.sa/ar/offers/offer-57.html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https://mobilypay.sa/ar/offers/offer-26.html</x:v>
      </x:c>
      <x:c r="N12" s="4" t="inlineStr">
        <x:is>
          <x:t xml:space="preserve">https://mobilypay.sa/ar/offers/offer-26.html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https://mobilypay.sa/ar/offers/offer-7.html</x:v>
      </x:c>
      <x:c r="N13" s="63" t="inlineStr">
        <x:is>
          <x:t xml:space="preserve">https://mobilypay.sa/ar/offers/offer-7.html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https://mobilypay.sa/ar/offers/offer-2.html</x:v>
      </x:c>
      <x:c r="N14" s="63" t="inlineStr">
        <x:is>
          <x:t xml:space="preserve">https://mobilypay.sa/ar/offers/offer-2.html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c510448c70f14db5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 t="n">
        <x:v>46227.0</x:v>
      </x:c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11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ec33113ccc264e56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231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9f047b21d434be4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1</x:v>
      </x:c>
      <x:c r="U15" s="35" t="inlineStr">
        <x:is>
          <x:t xml:space="preserve">X</x:t>
        </x:is>
      </x:c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f406d3836b54fc3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315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tr">
        <x:v>Active approved campaigns are listed newest first. Expired campaigns are excluded. Merchant offers appear only as a count in each competitor sheet.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316</x:v>
      </x:c>
      <x:c r="B4" s="26" t="s">
        <x:v>317</x:v>
      </x:c>
      <x:c r="C4" s="26" t="s">
        <x:v>318</x:v>
      </x:c>
      <x:c r="D4" s="26" t="s">
        <x:v>319</x:v>
      </x:c>
    </x:row>
    <x:row r="5" ht="38.650001525878906" customHeight="1">
      <x:c r="A5" s="27" t="s">
        <x:v>141</x:v>
      </x:c>
      <x:c r="B5" s="27" t="s">
        <x:v>320</x:v>
      </x:c>
      <x:c r="C5" s="27" t="s">
        <x:v>321</x:v>
      </x:c>
      <x:c r="D5" s="27" t="s">
        <x:v>322</x:v>
      </x:c>
    </x:row>
    <x:row r="6" ht="38.650001525878906" customHeight="1">
      <x:c r="A6" s="4" t="s">
        <x:v>279</x:v>
      </x:c>
      <x:c r="B6" s="4" t="s">
        <x:v>320</x:v>
      </x:c>
      <x:c r="C6" s="4" t="s">
        <x:v>323</x:v>
      </x:c>
      <x:c r="D6" s="4" t="s">
        <x:v>324</x:v>
      </x:c>
    </x:row>
    <x:row r="7" ht="38.650001525878906" customHeight="1">
      <x:c r="A7" s="4" t="s">
        <x:v>197</x:v>
      </x:c>
      <x:c r="B7" s="4" t="s">
        <x:v>320</x:v>
      </x:c>
      <x:c r="C7" s="4" t="s">
        <x:v>325</x:v>
      </x:c>
      <x:c r="D7" s="4" t="s">
        <x:v>326</x:v>
      </x:c>
    </x:row>
    <x:row r="8" ht="38.650001525878906" customHeight="1">
      <x:c r="A8" s="4" t="s">
        <x:v>23</x:v>
      </x:c>
      <x:c r="B8" s="4" t="s">
        <x:v>320</x:v>
      </x:c>
      <x:c r="C8" s="4" t="s">
        <x:v>327</x:v>
      </x:c>
      <x:c r="D8" s="4" t="s">
        <x:v>328</x:v>
      </x:c>
    </x:row>
    <x:row r="9" ht="38.650001525878906" customHeight="1">
      <x:c r="A9" s="4" t="s">
        <x:v>110</x:v>
      </x:c>
      <x:c r="B9" s="4" t="s">
        <x:v>320</x:v>
      </x:c>
      <x:c r="C9" s="4" t="s">
        <x:v>329</x:v>
      </x:c>
      <x:c r="D9" s="4" t="s">
        <x:v>330</x:v>
      </x:c>
    </x:row>
    <x:row r="10" ht="38.650001525878906" customHeight="1">
      <x:c r="A10" s="28" t="s">
        <x:v>55</x:v>
      </x:c>
      <x:c r="B10" s="28" t="s">
        <x:v>331</x:v>
      </x:c>
      <x:c r="C10" s="28" t="s">
        <x:v>332</x:v>
      </x:c>
      <x:c r="D10" s="28" t="s">
        <x:v>333</x:v>
      </x:c>
    </x:row>
    <x:row r="11" ht="38.650001525878906" customHeight="1">
      <x:c r="A11" s="4" t="s">
        <x:v>186</x:v>
      </x:c>
      <x:c r="B11" s="4" t="s">
        <x:v>334</x:v>
      </x:c>
      <x:c r="C11" s="4" t="s">
        <x:v>335</x:v>
      </x:c>
      <x:c r="D11" s="4" t="s">
        <x:v>336</x:v>
      </x:c>
    </x:row>
    <x:row r="14" ht="16.5">
      <x:c r="A14" s="46" t="s">
        <x:v>337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tr">
        <x:v>1. Do not list individual merchant offers as campaign rows; retain only the approved active count for each competitor.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tr">
        <x:v>2. Exclude expired, inactive, or unapproved merchant offers from the displayed count.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tr">
        <x:v>3. Show the merchant-offer count only in the relevant competitor sheet; exclude it from Dashboard campaign KPIs and charts.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tr">
        <x:v>4. Count a merchant activation as a campaign only when it has a coordinated objective, defined audience, dedicated timing, communication plan, and measurable campaign KPI.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tr">
        <x:v>5. This convention prevents individual partner discounts from inflating campaign volume.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338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339</x:v>
      </x:c>
      <x:c r="B24" s="21" t="s">
        <x:v>340</x:v>
      </x:c>
      <x:c r="D24" s="29" t="s">
        <x:v>341</x:v>
      </x:c>
      <x:c r="E24" s="29" t="s">
        <x:v>342</x:v>
      </x:c>
      <x:c r="F24" s="29" t="s">
        <x:v>343</x:v>
      </x:c>
      <x:c r="G24" s="29" t="s">
        <x:v>344</x:v>
      </x:c>
      <x:c r="H24" s="29" t="s">
        <x:v>345</x:v>
      </x:c>
    </x:row>
    <x:row r="25" ht="46.650001525878906" customHeight="1">
      <x:c r="A25" s="1" t="s">
        <x:v>346</x:v>
      </x:c>
      <x:c r="B25" s="1" t="str">
        <x:v>Campaign rows are populated automatically from approved monitoring data.</x:v>
      </x:c>
      <x:c r="D25" s="4" t="s">
        <x:v>347</x:v>
      </x:c>
      <x:c r="E25" s="4" t="s">
        <x:v>348</x:v>
      </x:c>
      <x:c r="F25" s="4" t="s">
        <x:v>349</x:v>
      </x:c>
      <x:c r="G25" s="4" t="s">
        <x:v>350</x:v>
      </x:c>
      <x:c r="H25" s="4" t="s">
        <x:v>351</x:v>
      </x:c>
    </x:row>
    <x:row r="26" ht="46.650001525878906" customHeight="1">
      <x:c r="A26" s="1" t="s">
        <x:v>352</x:v>
      </x:c>
      <x:c r="B26" s="1" t="str">
        <x:v>Merchant offers are shown only as an active approved count in each competitor sheet.</x:v>
      </x:c>
      <x:c r="D26" s="4" t="s">
        <x:v>353</x:v>
      </x:c>
      <x:c r="E26" s="4" t="s">
        <x:v>354</x:v>
      </x:c>
      <x:c r="F26" s="4" t="s">
        <x:v>355</x:v>
      </x:c>
      <x:c r="G26" s="4" t="s">
        <x:v>356</x:v>
      </x:c>
      <x:c r="H26" s="4" t="s">
        <x:v>357</x:v>
      </x:c>
    </x:row>
    <x:row r="27" ht="46.650001525878906" customHeight="1">
      <x:c r="A27" s="1" t="s">
        <x:v>358</x:v>
      </x:c>
      <x:c r="B27" s="1" t="str">
        <x:v>Use Remittance for all international-transfer campaigns; these rows are highlighted automatically.</x:v>
      </x:c>
      <x:c r="D27" s="4" t="s">
        <x:v>359</x:v>
      </x:c>
      <x:c r="E27" s="4" t="s">
        <x:v>360</x:v>
      </x:c>
      <x:c r="F27" s="4" t="s">
        <x:v>361</x:v>
      </x:c>
      <x:c r="G27" s="4" t="s">
        <x:v>362</x:v>
      </x:c>
      <x:c r="H27" s="4" t="s">
        <x:v>363</x:v>
      </x:c>
    </x:row>
    <x:row r="28" ht="30.649999618530273" customHeight="1">
      <x:c r="A28" s="1" t="s">
        <x:v>364</x:v>
      </x:c>
      <x:c r="B28" s="1" t="str">
        <x:v>Each listed campaign must retain a direct official campaign page or confirmed official social source.</x:v>
      </x:c>
    </x:row>
    <x:row r="29" ht="30.649999618530273" customHeight="1">
      <x:c r="A29" s="1" t="s">
        <x:v>365</x:v>
      </x:c>
      <x:c r="B29" s="1" t="str">
        <x:v>Expired campaigns are excluded; leave End Date blank only when the official source does not state it.</x:v>
      </x:c>
    </x:row>
    <x:row r="30" ht="30.649999618530273" customHeight="1">
      <x:c r="A30" s="1" t="s">
        <x:v>366</x:v>
      </x:c>
      <x:c r="B30" s="1" t="str">
        <x:v>Campaigns are sorted newest first using Start Date, Published Date, and detection date.</x:v>
      </x:c>
    </x:row>
    <x:row r="31" ht="30.649999618530273" customHeight="1">
      <x:c r="A31" s="1" t="s">
        <x:v>367</x:v>
      </x:c>
      <x:c r="B31" s="1" t="str">
        <x:v>Dashboard campaign KPIs, category mix, remittance analysis, and the 14-day social Bar Chart update automatically.</x:v>
      </x:c>
    </x:row>
    <x:row r="32" ht="30.649999618530273" customHeight="1">
      <x:c r="A32" s="1" t="s">
        <x:v>368</x:v>
      </x:c>
      <x:c r="B32" s="1" t="str">
        <x:v>Social Post Count includes confirmed posts linked to the campaign; Published Platforms lists the relevant channels.</x:v>
      </x:c>
    </x:row>
    <x:row r="34" ht="22.649999618530273" customHeight="1">
      <x:c r="A34" s="62" t="str">
        <x:v>The Social Media Activity Bar Chart counts unique direct official posts published during the latest 14-day window.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