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<x:sst xmlns:x="http://schemas.openxmlformats.org/spreadsheetml/2006/main">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</x:sst>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39</c:v>
                </c:pt>
                <c:pt idx="1">
                  <c:v>10</c:v>
                </c:pt>
                <c:pt idx="2">
                  <c:v>21</c:v>
                </c:pt>
                <c:pt idx="3">
                  <c:v>15</c:v>
                </c:pt>
                <c:pt idx="4">
                  <c:v>10</c:v>
                </c:pt>
                <c:pt idx="5">
                  <c:v>13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63</c:v>
                </c:pt>
                <c:pt idx="1">
                  <c:v>36</c:v>
                </c:pt>
                <c:pt idx="2">
                  <c:v>30</c:v>
                </c:pt>
                <c:pt idx="3">
                  <c:v>14</c:v>
                </c:pt>
                <c:pt idx="4">
                  <c:v>35</c:v>
                </c:pt>
                <c:pt idx="5">
                  <c:v>19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82</c:v>
                </c:pt>
                <c:pt idx="1">
                  <c:v>14</c:v>
                </c:pt>
                <c:pt idx="2">
                  <c:v>23</c:v>
                </c:pt>
                <c:pt idx="3">
                  <c:v>15</c:v>
                </c:pt>
                <c:pt idx="4">
                  <c:v>6</c:v>
                </c:pt>
                <c:pt idx="5">
                  <c:v>12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0</c:v>
                </c:pt>
                <c:pt idx="4">
                  <c:v>5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46268.09222507096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46268.095973638614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25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468</x:v>
      </x:c>
      <x:c r="H6" s="286"/>
      <x:c r="I6" s="211"/>
      <x:c r="J6" s="251" t="n">
        <x:f>$AE$12</x:f>
        <x:v>4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39</x:v>
      </x:c>
      <x:c r="Z12" s="289" t="n">
        <x:v>63</x:v>
      </x:c>
      <x:c r="AA12" s="289" t="n">
        <x:v>82</x:v>
      </x:c>
      <x:c r="AB12" s="289" t="n">
        <x:v>2</x:v>
      </x:c>
      <x:c r="AD12" s="289" t="inlineStr">
        <x:is>
          <x:t xml:space="preserve">Expiring ≤30 Days</x:t>
        </x:is>
      </x:c>
      <x:c r="AE12" s="289" t="n">
        <x:v>4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10</x:v>
      </x:c>
      <x:c r="Z13" s="289" t="n">
        <x:v>36</x:v>
      </x:c>
      <x:c r="AA13" s="289" t="n">
        <x:v>14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21</x:v>
      </x:c>
      <x:c r="Z14" s="289" t="n">
        <x:v>30</x:v>
      </x:c>
      <x:c r="AA14" s="289" t="n">
        <x:v>23</x:v>
      </x:c>
      <x:c r="AB14" s="289" t="n">
        <x:v>2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15</x:v>
      </x:c>
      <x:c r="Z15" s="289" t="n">
        <x:v>14</x:v>
      </x:c>
      <x:c r="AA15" s="289" t="n">
        <x:v>15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10</x:v>
      </x:c>
      <x:c r="Z16" s="289" t="n">
        <x:v>35</x:v>
      </x:c>
      <x:c r="AA16" s="289" t="n">
        <x:v>6</x:v>
      </x:c>
      <x:c r="AB16" s="289" t="n">
        <x:v>5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13</x:v>
      </x:c>
      <x:c r="Z17" s="289" t="n">
        <x:v>19</x:v>
      </x:c>
      <x:c r="AA17" s="289" t="n">
        <x:v>12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31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46270.0</x:v>
      </x:c>
      <x:c r="H9" s="7" t="n">
        <x:f t="shared" ref="H9:H53" si="1">IF(OR(C9="",G9=""),"",G9-TODAY())</x:f>
        <x:v>2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16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29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8" t="n">
        <x:v>7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60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27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58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27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119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13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116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119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