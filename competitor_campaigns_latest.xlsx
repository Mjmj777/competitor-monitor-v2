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<x:sst xmlns:x="http://schemas.openxmlformats.org/spreadsheetml/2006/main">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</x:sst>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13</c:v>
                </c:pt>
                <c:pt idx="1">
                  <c:v>6</c:v>
                </c:pt>
                <c:pt idx="2">
                  <c:v>13</c:v>
                </c:pt>
                <c:pt idx="3">
                  <c:v>6</c:v>
                </c:pt>
                <c:pt idx="4">
                  <c:v>4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39</c:v>
                </c:pt>
                <c:pt idx="1">
                  <c:v>29</c:v>
                </c:pt>
                <c:pt idx="2">
                  <c:v>0</c:v>
                </c:pt>
                <c:pt idx="3">
                  <c:v>7</c:v>
                </c:pt>
                <c:pt idx="4">
                  <c:v>11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34</c:v>
                </c:pt>
                <c:pt idx="1">
                  <c:v>5</c:v>
                </c:pt>
                <c:pt idx="2">
                  <c:v>13</c:v>
                </c:pt>
                <c:pt idx="3">
                  <c:v>6</c:v>
                </c:pt>
                <c:pt idx="4">
                  <c:v>0</c:v>
                </c:pt>
                <c:pt idx="5">
                  <c:v>9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5</c:v>
                </c:pt>
                <c:pt idx="1">
                  <c:v>5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46311.001630644074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46311.0022873728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241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13</x:v>
      </x:c>
      <x:c r="Z12" s="289" t="n">
        <x:v>39</x:v>
      </x:c>
      <x:c r="AA12" s="289" t="n">
        <x:v>34</x:v>
      </x:c>
      <x:c r="AB12" s="289" t="n">
        <x:v>5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6</x:v>
      </x:c>
      <x:c r="Z13" s="289" t="n">
        <x:v>29</x:v>
      </x:c>
      <x:c r="AA13" s="289" t="n">
        <x:v>5</x:v>
      </x:c>
      <x:c r="AB13" s="289" t="n">
        <x:v>5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13</x:v>
      </x:c>
      <x:c r="Z14" s="289" t="n">
        <x:v>0</x:v>
      </x:c>
      <x:c r="AA14" s="289" t="n">
        <x:v>13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6</x:v>
      </x:c>
      <x:c r="Z15" s="289" t="n">
        <x:v>7</x:v>
      </x:c>
      <x:c r="AA15" s="289" t="n">
        <x:v>6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4</x:v>
      </x:c>
      <x:c r="Z16" s="289" t="n">
        <x:v>11</x:v>
      </x:c>
      <x:c r="AA16" s="289" t="n">
        <x:v>0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19</x:v>
      </x:c>
      <x:c r="AA17" s="289" t="n">
        <x:v>9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46326.0</x:v>
      </x:c>
      <x:c r="H9" s="7" t="n">
        <x:f t="shared" ref="H9:H53" si="1">IF(OR(C9="",G9=""),"",G9-TODAY())</x:f>
        <x:v>15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STC Bank Credit Card Launch</x:t>
        </x:is>
      </x:c>
      <x:c r="D10" s="4" t="inlineStr">
        <x:is>
          <x:t xml:space="preserve">Credit cards promoted with flexible cashback of up to 10% on selected categories and 1% on other purchases.</x:t>
        </x:is>
      </x:c>
      <x:c r="E10" s="5"/>
      <x:c r="F10" s="5" t="n">
        <x:v>46132.45142361111</x:v>
      </x:c>
      <x:c r="G10" s="5" t="n">
        <x:v>46326.0</x:v>
      </x:c>
      <x:c r="H10" s="7" t="n">
        <x:f t="shared" si="1">IF(OR(C10="",G10=""),"",G10-TODAY())</x:f>
        <x:v>15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Credit-card purchases</x:t>
        </x:is>
      </x:c>
      <x:c r="K10" s="4" t="inlineStr">
        <x:is>
          <x:t xml:space="preserve">Flexible category cashback of up to 10%</x:t>
        </x:is>
      </x:c>
      <x:c r="L10" s="4" t="inlineStr">
        <x:is>
          <x:t xml:space="preserve">STC Bank credit-card customers</x:t>
        </x:is>
      </x:c>
      <x:c r="M10" s="9" t="str">
        <x:f>IF(C10="","",IF(N10&lt;&gt;"",N10,IF(O10&lt;&gt;"",O10,IF(P10&lt;&gt;"",P10,IF(Q10&lt;&gt;"",Q10,IF(R10&lt;&gt;"",R10,""))))))</x:f>
        <x:v>https://www.instagram.com/reel/DWots29j8fx/?hl=en</x:v>
      </x:c>
      <x:c r="N10" s="63" t="inlineStr">
        <x:is>
          <x:t xml:space="preserve">https://www.instagram.com/reel/DWots29j8fx/?hl=en</x:t>
        </x:is>
      </x:c>
      <x:c r="O10" s="4" t="inlineStr">
        <x:is>
          <x:t xml:space="preserve">https://www.instagram.com/reel/DWots29j8fx/?hl=en</x:t>
        </x:is>
      </x:c>
      <x:c r="P10" s="4" t="inlineStr">
        <x:is>
          <x:t xml:space="preserve">https://x.com/stcbank_ksa/status/2071639841348124772</x:t>
        </x:is>
      </x:c>
      <x:c r="Q10" s="63" t="inlineStr">
        <x:is>
          <x:t xml:space="preserve">https://www.facebook.com/share/v/1CqU3VtD85/</x:t>
        </x:is>
      </x:c>
      <x:c r="R10" s="4"/>
      <x:c r="S10" s="4"/>
      <x:c r="T10" s="8" t="n">
        <x:v>12</x:v>
      </x:c>
      <x:c r="U10" s="35" t="inlineStr">
        <x:is>
          <x:t xml:space="preserve">Instagram, X, Facebook, TikTok</x:t>
        </x:is>
      </x:c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46390.0</x:v>
      </x:c>
      <x:c r="H9" s="7" t="n">
        <x:f t="shared" ref="H9:H42" si="1">IF(OR(C9="",G9=""),"",G9-TODAY())</x:f>
        <x:v>79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15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15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76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25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73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76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