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<x:sst xmlns:x="http://schemas.openxmlformats.org/spreadsheetml/2006/main">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</x:sst>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6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12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34</c:v>
                </c:pt>
                <c:pt idx="1">
                  <c:v>13</c:v>
                </c:pt>
                <c:pt idx="2">
                  <c:v>19</c:v>
                </c:pt>
                <c:pt idx="3">
                  <c:v>13</c:v>
                </c:pt>
                <c:pt idx="4">
                  <c:v>15</c:v>
                </c:pt>
                <c:pt idx="5">
                  <c:v>9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70</c:v>
                </c:pt>
                <c:pt idx="1">
                  <c:v>54</c:v>
                </c:pt>
                <c:pt idx="2">
                  <c:v>2</c:v>
                </c:pt>
                <c:pt idx="3">
                  <c:v>12</c:v>
                </c:pt>
                <c:pt idx="4">
                  <c:v>28</c:v>
                </c:pt>
                <c:pt idx="5">
                  <c:v>15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65</c:v>
                </c:pt>
                <c:pt idx="1">
                  <c:v>15</c:v>
                </c:pt>
                <c:pt idx="2">
                  <c:v>22</c:v>
                </c:pt>
                <c:pt idx="3">
                  <c:v>13</c:v>
                </c:pt>
                <c:pt idx="4">
                  <c:v>4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14</c:v>
                </c:pt>
                <c:pt idx="1">
                  <c:v>14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12</x:v>
      </x:c>
    </x:row>
    <x:row r="3" ht="22" customHeight="1">
      <x:c r="A3" s="226" t="str">
        <x:v>Research Cut-off</x:v>
      </x:c>
      <x:c r="B3" s="227" t="n">
        <x:v>46289.45875587661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46289.45960219466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4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12</x:v>
      </x:c>
      <x:c r="E6" s="252"/>
      <x:c r="F6" s="211"/>
      <x:c r="G6" s="285" t="n">
        <x:f>SUM($Y$12:$AB$17)</x:f>
        <x:v>445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34</x:v>
      </x:c>
      <x:c r="Z12" s="289" t="n">
        <x:v>70</x:v>
      </x:c>
      <x:c r="AA12" s="289" t="n">
        <x:v>65</x:v>
      </x:c>
      <x:c r="AB12" s="289" t="n">
        <x:v>14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13</x:v>
      </x:c>
      <x:c r="Z13" s="289" t="n">
        <x:v>54</x:v>
      </x:c>
      <x:c r="AA13" s="289" t="n">
        <x:v>15</x:v>
      </x:c>
      <x:c r="AB13" s="289" t="n">
        <x:v>14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19</x:v>
      </x:c>
      <x:c r="Z14" s="289" t="n">
        <x:v>2</x:v>
      </x:c>
      <x:c r="AA14" s="289" t="n">
        <x:v>22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13</x:v>
      </x:c>
      <x:c r="Z15" s="289" t="n">
        <x:v>12</x:v>
      </x:c>
      <x:c r="AA15" s="289" t="n">
        <x:v>13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15</x:v>
      </x:c>
      <x:c r="Z16" s="289" t="n">
        <x:v>28</x:v>
      </x:c>
      <x:c r="AA16" s="289" t="n">
        <x:v>4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9</x:v>
      </x:c>
      <x:c r="Z17" s="289" t="n">
        <x:v>15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46293.0</x:v>
      </x:c>
      <x:c r="H9" s="7" t="n">
        <x:f t="shared" ref="H9:H53" si="1">IF(OR(C9="",G9=""),"",G9-TODAY())</x:f>
        <x:v>4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46293.0</x:v>
      </x:c>
      <x:c r="H11" s="7" t="n">
        <x:f t="shared" si="1">IF(OR(C11="",G11=""),"",G11-TODAY())</x:f>
        <x:v>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4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Free International Transfer Fees</x:t>
        </x:is>
      </x:c>
      <x:c r="D11" s="4" t="inlineStr">
        <x:is>
          <x:t xml:space="preserve">Offer valid from 1 Aug until 31 Oct 2026. Transfer fees are (free) for transfers of SAR 1,000 or more.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37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https://mobilypay.sa/en/offers/offer-55.html</x:v>
      </x:c>
      <x:c r="N11" s="4" t="inlineStr">
        <x:is>
          <x:t xml:space="preserve">https://mobilypay.sa/en/offers/offer-55.html</x:t>
        </x:is>
      </x:c>
      <x:c r="O11" s="4"/>
      <x:c r="P11" s="4"/>
      <x:c r="Q11" s="63"/>
      <x:c r="R11" s="4"/>
      <x:c r="S11" s="4"/>
      <x:c r="T11" s="8" t="n">
        <x:v>0</x:v>
      </x:c>
      <x:c r="U11" s="35"/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 – Aug–Oct 2026</x:t>
        </x:is>
      </x:c>
      <x:c r="D12" s="4" t="inlineStr">
        <x:is>
          <x:t xml:space="preserve">Qualifying international transfers are offered with zero transfer fees under corridor and amount thresholds stated on the official campaign page.</x:t>
        </x:is>
      </x:c>
      <x:c r="E12" s="5"/>
      <x:c r="F12" s="5" t="n">
        <x:v>46235.0</x:v>
      </x:c>
      <x:c r="G12" s="5" t="n">
        <x:v>46326.0</x:v>
      </x:c>
      <x:c r="H12" s="7" t="n">
        <x:f t="shared" si="1">IF(OR(C12="",G12=""),"",G12-TODAY())</x:f>
        <x:v>37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International transfers through MoneyGram</x:t>
        </x:is>
      </x:c>
      <x:c r="K12" s="4" t="inlineStr">
        <x:is>
          <x:t xml:space="preserve">Zero transfer fees on qualifying transfers; standard SAR 9 fees apply below certain corridor/amount thresholds</x:t>
        </x:is>
      </x:c>
      <x:c r="L12" s="4" t="inlineStr">
        <x:is>
          <x:t xml:space="preserve">Mobily Pay customers; corridor, currency, amount threshold, VAT and MoneyGram terms apply</x:t>
        </x:is>
      </x:c>
      <x:c r="M12" s="9" t="str">
        <x:f t="shared" si="3">IF(C12="","",IF(N12&lt;&gt;"",N12,IF(O12&lt;&gt;"",O12,IF(P12&lt;&gt;"",P12,IF(Q12&lt;&gt;"",Q12,IF(R12&lt;&gt;"",R12,""))))))</x:f>
        <x:v>https://mobilypay.sa/en/offers/offer-56.html</x:v>
      </x:c>
      <x:c r="N12" s="4" t="inlineStr">
        <x:is>
          <x:t xml:space="preserve">https://mobilypay.sa/en/offers/offer-56.html</x:t>
        </x:is>
      </x:c>
      <x:c r="O12" s="4" t="inlineStr">
        <x:is>
          <x:t xml:space="preserve">https://www.instagram.com/reel/DZuhOEDFRNn/</x:t>
        </x:is>
      </x:c>
      <x:c r="P12" s="4"/>
      <x:c r="Q12" s="4" t="inlineStr">
        <x:is>
          <x:t xml:space="preserve">https://www.facebook.com/mobilypay/videos/transfer-now/829680072943900/</x:t>
        </x:is>
      </x:c>
      <x:c r="R12" s="4"/>
      <x:c r="S12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6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≤7 Days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 t="inlineStr">
        <x:is>
          <x:t xml:space="preserve">https://m.facebook.com/mobilypay/posts/pfbid0GWrj6drx2V2e6HdVw9hrRjBmGCZVD5emPrFueMyDERit7HWbDdAiJv6fyrbwgP2rl</x:t>
        </x:is>
      </x:c>
      <x:c r="R14" s="4"/>
      <x:c r="S14" s="4"/>
      <x:c r="T14" s="8" t="n">
        <x:v>1</x:v>
      </x:c>
      <x:c r="U14" s="35" t="inlineStr">
        <x:is>
          <x:t xml:space="preserve">Facebook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98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98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