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b69760f2844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93a0e4df54b04dc9"/>
    <x:sheet xmlns:r="http://schemas.openxmlformats.org/officeDocument/2006/relationships" name="STC Bank" sheetId="2" r:id="R0f4b2a310a5d4cbf"/>
    <x:sheet xmlns:r="http://schemas.openxmlformats.org/officeDocument/2006/relationships" name="barq" sheetId="3" r:id="Rccaebdff65664c1a"/>
    <x:sheet xmlns:r="http://schemas.openxmlformats.org/officeDocument/2006/relationships" name="Mobily Pay" sheetId="4" r:id="Rd395576924ac4b0d"/>
    <x:sheet xmlns:r="http://schemas.openxmlformats.org/officeDocument/2006/relationships" name="tiqmo" sheetId="5" r:id="R6462069155004c18"/>
    <x:sheet xmlns:r="http://schemas.openxmlformats.org/officeDocument/2006/relationships" name="urpay" sheetId="6" r:id="Rd4613b455b3d4e0f"/>
    <x:sheet xmlns:r="http://schemas.openxmlformats.org/officeDocument/2006/relationships" name="alinma pay" sheetId="7" r:id="Rf6067ccee45942f4"/>
    <x:sheet xmlns:r="http://schemas.openxmlformats.org/officeDocument/2006/relationships" name="Update Guide" sheetId="8" r:id="R9cd53a35de31429f"/>
  </x:sheets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<x:sst xmlns:x="http://schemas.openxmlformats.org/spreadsheetml/2006/main">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</x:sst>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80b7b30a064bf4" /><Relationship Type="http://schemas.openxmlformats.org/officeDocument/2006/relationships/theme" Target="/xl/theme/theme1.xml" Id="R5cc36773b5eb4923" /><Relationship Type="http://schemas.openxmlformats.org/officeDocument/2006/relationships/sharedStrings" Target="/xl/sharedStrings.xml" Id="Rb10cfad02cb54416" /><Relationship Type="http://schemas.openxmlformats.org/officeDocument/2006/relationships/worksheet" Target="/xl/worksheets/sheet1.xml" Id="R93a0e4df54b04dc9" /><Relationship Type="http://schemas.openxmlformats.org/officeDocument/2006/relationships/worksheet" Target="/xl/worksheets/sheet2.xml" Id="R0f4b2a310a5d4cbf" /><Relationship Type="http://schemas.openxmlformats.org/officeDocument/2006/relationships/worksheet" Target="/xl/worksheets/sheet3.xml" Id="Rccaebdff65664c1a" /><Relationship Type="http://schemas.openxmlformats.org/officeDocument/2006/relationships/worksheet" Target="/xl/worksheets/sheet4.xml" Id="Rd395576924ac4b0d" /><Relationship Type="http://schemas.openxmlformats.org/officeDocument/2006/relationships/worksheet" Target="/xl/worksheets/sheet5.xml" Id="R6462069155004c18" /><Relationship Type="http://schemas.openxmlformats.org/officeDocument/2006/relationships/worksheet" Target="/xl/worksheets/sheet6.xml" Id="Rd4613b455b3d4e0f" /><Relationship Type="http://schemas.openxmlformats.org/officeDocument/2006/relationships/worksheet" Target="/xl/worksheets/sheet7.xml" Id="Rf6067ccee45942f4" /><Relationship Type="http://schemas.openxmlformats.org/officeDocument/2006/relationships/worksheet" Target="/xl/worksheets/sheet8.xml" Id="R9cd53a35de3142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83b2805158415e" /><Relationship Type="http://schemas.openxmlformats.org/officeDocument/2006/relationships/chart" Target="/xl/drawings/charts/chart2.xml" Id="R78fe1c7190874992" /><Relationship Type="http://schemas.openxmlformats.org/officeDocument/2006/relationships/chart" Target="/xl/drawings/charts/chart3.xml" Id="R7361499901e04baa" /><Relationship Type="http://schemas.openxmlformats.org/officeDocument/2006/relationships/chart" Target="/xl/drawings/charts/chart4.xml" Id="R3c903b4bd7cd43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Active Campaigns by Competitor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 xmlns:a="http://schemas.openxmlformats.org/drawingml/2006/main">
              <a:srgbClr val="2D72A4"/>
            </a:solidFill>
          </c:spPr>
          <c:cat>
            <c:strRef>
              <c:f>'Executive Dashboard'!$X$2:$X$7</c:f>
              <c:strCache>
                <c:ptCount val="0"/>
              </c:strCache>
            </c:strRef>
          </c:cat>
          <c:val>
            <c:numRef>
              <c:f>'Executive Dashboard'!$Y$2:$Y$7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Active Campaign Mix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0"/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Remittance Campaigns by Competitor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 xmlns:a="http://schemas.openxmlformats.org/drawingml/2006/main">
              <a:srgbClr val="D9A62E"/>
            </a:solidFill>
          </c:spPr>
          <c:cat>
            <c:strRef>
              <c:f>'Executive Dashboard'!$AA$2:$AA$7</c:f>
              <c:strCache>
                <c:ptCount val="0"/>
              </c:strCache>
            </c:strRef>
          </c:cat>
          <c:val>
            <c:numRef>
              <c:f>'Executive Dashboard'!$AB$2:$AB$7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Social Media Activity — Last 14 Days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 xmlns:a="http://schemas.openxmlformats.org/drawingml/2006/main">
              <a:srgbClr val="287E9B"/>
            </a:solidFill>
          </c:spPr>
          <c:cat>
            <c:strRef>
              <c:f>'Executive Dashboard'!$X$12:$X$17</c:f>
              <c:strCache>
                <c:ptCount val="0"/>
              </c:strCache>
            </c:strRef>
          </c:cat>
          <c:val>
            <c:numRef>
              <c:f>'Executive Dashboard'!$Y$12:$Y$17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spPr>
            <a:solidFill xmlns:a="http://schemas.openxmlformats.org/drawingml/2006/main">
              <a:srgbClr val="E8732A"/>
            </a:solidFill>
          </c:spPr>
          <c:cat>
            <c:strRef>
              <c:f>'Executive Dashboard'!$X$12:$X$17</c:f>
              <c:strCache>
                <c:ptCount val="0"/>
              </c:strCache>
            </c:strRef>
          </c:cat>
          <c:val>
            <c:numRef>
              <c:f>'Executive Dashboard'!$Z$12:$Z$17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spPr>
            <a:solidFill xmlns:a="http://schemas.openxmlformats.org/drawingml/2006/main">
              <a:srgbClr val="3B8B6B"/>
            </a:solidFill>
          </c:spPr>
          <c:cat>
            <c:strRef>
              <c:f>'Executive Dashboard'!$X$12:$X$17</c:f>
              <c:strCache>
                <c:ptCount val="0"/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spPr>
            <a:solidFill xmlns:a="http://schemas.openxmlformats.org/drawingml/2006/main">
              <a:srgbClr val="5A78B8"/>
            </a:solidFill>
          </c:spPr>
          <c:cat>
            <c:strRef>
              <c:f>'Executive Dashboard'!$X$12:$X$17</c:f>
              <c:strCache>
                <c:ptCount val="0"/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83b2805158415e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fe1c719087499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61499901e04baa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903b4bd7cd431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d6ef60985e44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51f20ef52c047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ddcf73619242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321246c6b94b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fbabd9ad8d42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e0a4e84398a4ea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b9c17226a4e4a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str">
        <x:v>STC Bank</x:v>
      </x:c>
      <x:c r="Y2" s="289" t="n">
        <x:v>4</x:v>
      </x:c>
      <x:c r="AA2" s="289" t="str">
        <x:v>STC Bank</x:v>
      </x:c>
      <x:c r="AB2" s="289" t="n">
        <x:v>1</x:v>
      </x:c>
      <x:c r="AD2" s="289" t="str">
        <x:v>Remittance</x:v>
      </x:c>
      <x:c r="AE2" s="289" t="n">
        <x:v>11</x:v>
      </x:c>
    </x:row>
    <x:row r="3" ht="22" customHeight="1">
      <x:c r="A3" s="226" t="str">
        <x:v>Research Cut-off</x:v>
      </x:c>
      <x:c r="B3" s="227" t="n">
        <x:v>46261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</x:v>
      </x:c>
      <x:c r="L3" s="227"/>
      <x:c r="M3" s="227"/>
      <x:c r="N3" s="227"/>
      <x:c r="X3" s="289" t="str">
        <x:v>barq</x:v>
      </x:c>
      <x:c r="Y3" s="289" t="n">
        <x:v>6</x:v>
      </x:c>
      <x:c r="AA3" s="289" t="str">
        <x:v>barq</x:v>
      </x:c>
      <x:c r="AB3" s="289" t="n">
        <x:v>2</x:v>
      </x:c>
      <x:c r="AD3" s="289" t="str">
        <x:v>Musaned</x:v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str">
        <x:v>Mobily Pay</x:v>
      </x:c>
      <x:c r="Y4" s="289" t="n">
        <x:v>6</x:v>
      </x:c>
      <x:c r="AA4" s="289" t="str">
        <x:v>Mobily Pay</x:v>
      </x:c>
      <x:c r="AB4" s="289" t="n">
        <x:v>3</x:v>
      </x:c>
      <x:c r="AD4" s="289" t="str">
        <x:v>SADAD</x:v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str">
        <x:v>tiqmo</x:v>
      </x:c>
      <x:c r="Y5" s="289" t="n">
        <x:v>6</x:v>
      </x:c>
      <x:c r="AA5" s="289" t="str">
        <x:v>tiqmo</x:v>
      </x:c>
      <x:c r="AB5" s="289" t="n">
        <x:v>2</x:v>
      </x:c>
      <x:c r="AD5" s="289" t="str">
        <x:v>Card</x:v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401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str">
        <x:v>urpay</x:v>
      </x:c>
      <x:c r="Y6" s="289" t="n">
        <x:v>3</x:v>
      </x:c>
      <x:c r="AA6" s="289" t="str">
        <x:v>urpay</x:v>
      </x:c>
      <x:c r="AB6" s="289" t="n">
        <x:v>1</x:v>
      </x:c>
      <x:c r="AD6" s="289" t="str">
        <x:v>Engagement</x:v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str">
        <x:v>alinma pay</x:v>
      </x:c>
      <x:c r="Y7" s="289" t="n">
        <x:v>8</x:v>
      </x:c>
      <x:c r="AA7" s="289" t="str">
        <x:v>alinma pay</x:v>
      </x:c>
      <x:c r="AB7" s="289" t="n">
        <x:v>2</x:v>
      </x:c>
      <x:c r="AD7" s="289" t="str">
        <x:v>Other</x:v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str">
        <x:v>STC Bank</x:v>
      </x:c>
      <x:c r="Y12" s="289" t="n">
        <x:v>23</x:v>
      </x:c>
      <x:c r="Z12" s="289" t="n">
        <x:v>47</x:v>
      </x:c>
      <x:c r="AA12" s="289" t="n">
        <x:v>39</x:v>
      </x:c>
      <x:c r="AB12" s="289" t="n">
        <x:v>3</x:v>
      </x:c>
      <x:c r="AD12" s="289" t="str">
        <x:v>Expiring ≤30 Days</x:v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str">
        <x:v>barq</x:v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str">
        <x:v>Mobily Pay</x:v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str">
        <x:v>tiqmo</x:v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str">
        <x:v>urpay</x:v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str">
        <x:v>alinma pay</x:v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>
        <x:f t="shared" ref="B27:G27" si="0">SUM(B21:B26)</x:f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>
        <x:f t="shared" ref="X31:X36" si="1">A10</x:f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>
        <x:f t="shared" ref="B60:F60" si="2">SUM(B54:B59)</x:f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fd6ef60985e444e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16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0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 t="n">
        <x:v>0</x:v>
      </x:c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s">
        <x:v>21</x:v>
      </x:c>
      <x:c r="C9" s="4" t="s">
        <x:v>22</x:v>
      </x:c>
      <x:c r="D9" s="4" t="s">
        <x:v>23</x:v>
      </x:c>
      <x:c r="E9" s="5"/>
      <x:c r="F9" s="5">
        <x:v>46159</x:v>
      </x:c>
      <x:c r="G9" s="5" t="n">
        <x:v>46265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 t="s">
        <x:v>24</x:v>
      </x:c>
      <x:c r="K9" s="4" t="s">
        <x:v>25</x:v>
      </x:c>
      <x:c r="L9" s="4" t="s">
        <x:v>26</x:v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s">
        <x:v>27</x:v>
      </x:c>
      <x:c r="O9" s="4" t="s">
        <x:v>28</x:v>
      </x:c>
      <x:c r="P9" s="4" t="s">
        <x:v>29</x:v>
      </x:c>
      <x:c r="Q9" s="63" t="s">
        <x:v>30</x:v>
      </x:c>
      <x:c r="R9" s="63" t="s">
        <x:v>31</x:v>
      </x:c>
      <x:c r="S9" s="4" t="str">
        <x:v>0% international POS fee campaign is valid from 17 May to 31 August 2026. International e-commerce purchases are excluded; free withdrawals apply to international ATMs. Digital-wallet purchases are eligible under the official terms.</x:v>
      </x:c>
      <x:c r="T9" s="5" t="n">
        <x:v>46240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s">
        <x:v>21</x:v>
      </x:c>
      <x:c r="C10" s="4" t="s">
        <x:v>32</x:v>
      </x:c>
      <x:c r="D10" s="4" t="s">
        <x:v>33</x:v>
      </x:c>
      <x:c r="E10" s="5"/>
      <x:c r="F10" s="5">
        <x:v>46198</x:v>
      </x:c>
      <x:c r="G10" s="5" t="n">
        <x:v>46268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s">
        <x:v>34</x:v>
      </x:c>
      <x:c r="K10" s="4" t="s">
        <x:v>35</x:v>
      </x:c>
      <x:c r="L10" s="4" t="s">
        <x:v>26</x:v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s">
        <x:v>27</x:v>
      </x:c>
      <x:c r="O10" s="4" t="s">
        <x:v>36</x:v>
      </x:c>
      <x:c r="P10" s="4" t="s">
        <x:v>37</x:v>
      </x:c>
      <x:c r="Q10" s="63" t="s">
        <x:v>38</x:v>
      </x:c>
      <x:c r="R10" s="4"/>
      <x:c r="S10" s="4" t="str">
        <x:v>Travel voucher campaign is valid from 25 June to 3 September 2026. The top 10 weekly international spenders receive SAR 10,000 Almatar vouchers; cash withdrawals and wallet/account top-ups are excluded.</x:v>
      </x:c>
      <x:c r="T10" s="5" t="n">
        <x:v>46240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s">
        <x:v>21</x:v>
      </x:c>
      <x:c r="C11" s="4" t="s">
        <x:v>39</x:v>
      </x:c>
      <x:c r="D11" s="4" t="s">
        <x:v>40</x:v>
      </x:c>
      <x:c r="E11" s="5"/>
      <x:c r="F11" s="5"/>
      <x:c r="G11" s="5" t="n">
        <x:v>46254</x:v>
      </x:c>
      <x:c r="H11" s="7" t="n">
        <x:f t="shared" si="1">IF(OR(C11="",G11=""),"",G11-TODAY())</x:f>
        <x:v>-7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s">
        <x:v>41</x:v>
      </x:c>
      <x:c r="K11" s="4" t="s">
        <x:v>42</x:v>
      </x:c>
      <x:c r="L11" s="4" t="s">
        <x:v>26</x:v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 t="s">
        <x:v>43</x:v>
      </x:c>
      <x:c r="O11" s="4"/>
      <x:c r="P11" s="4"/>
      <x:c r="Q11" s="4"/>
      <x:c r="R11" s="4"/>
      <x:c r="S11" s="4" t="str">
        <x:v>Campaign applies to Visa payment cards (Classic, Platinum, Signature), digital or physical; credit cards excluded. Monthly iPhone reward requires SAR 4,000 spend and weekly Apple Watch reward requires a SAR 300 qualifying purchase.</x:v>
      </x:c>
      <x:c r="T11" s="5" t="n">
        <x:v>46240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s">
        <x:v>21</x:v>
      </x:c>
      <x:c r="C12" s="4" t="s">
        <x:v>44</x:v>
      </x:c>
      <x:c r="D12" s="4" t="s">
        <x:v>45</x:v>
      </x:c>
      <x:c r="E12" s="5">
        <x:v>46217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46</x:v>
      </x:c>
      <x:c r="K12" s="4" t="s">
        <x:v>47</x:v>
      </x:c>
      <x:c r="L12" s="4" t="s">
        <x:v>48</x:v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/>
      <x:c r="O12" s="63" t="s">
        <x:v>49</x:v>
      </x:c>
      <x:c r="P12" s="63" t="s">
        <x:v>50</x:v>
      </x:c>
      <x:c r="Q12" s="63" t="s">
        <x:v>51</x:v>
      </x:c>
      <x:c r="R12" s="4"/>
      <x:c r="S12" s="4" t="s">
        <x:v>52</x:v>
      </x:c>
      <x:c r="T12" s="5" t="n">
        <x:v>46240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s">
        <x:v>53</x:v>
      </x:c>
      <x:c r="C13" s="4" t="s">
        <x:v>54</x:v>
      </x:c>
      <x:c r="D13" s="4" t="s">
        <x:v>55</x:v>
      </x:c>
      <x:c r="E13" s="5"/>
      <x:c r="F13" s="5"/>
      <x:c r="G13" s="5" t="n">
        <x:v>46752</x:v>
      </x:c>
      <x:c r="H13" s="7" t="n">
        <x:f t="shared" si="1">IF(OR(C13="",G13=""),"",G13-TODAY())</x:f>
        <x:v>491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">
        <x:v>56</x:v>
      </x:c>
      <x:c r="K13" s="4" t="s">
        <x:v>57</x:v>
      </x:c>
      <x:c r="L13" s="4" t="s">
        <x:v>58</x:v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s">
        <x:v>59</x:v>
      </x:c>
      <x:c r="O13" s="4"/>
      <x:c r="P13" s="4"/>
      <x:c r="Q13" s="4"/>
      <x:c r="R13" s="4"/>
      <x:c r="S13" s="4" t="str">
        <x:v>Official page now explicitly states validity through 31 December 2027. Digital-wallet payments are excluded.</x:v>
      </x:c>
      <x:c r="T13" s="5" t="n">
        <x:v>46240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s">
        <x:v>53</x:v>
      </x:c>
      <x:c r="C14" s="4" t="s">
        <x:v>60</x:v>
      </x:c>
      <x:c r="D14" s="4" t="s">
        <x:v>61</x:v>
      </x:c>
      <x:c r="E14" s="5"/>
      <x:c r="F14" s="5"/>
      <x:c r="G14" s="5" t="n">
        <x:v>46234</x:v>
      </x:c>
      <x:c r="H14" s="7" t="n">
        <x:f t="shared" si="1">IF(OR(C14="",G14=""),"",G14-TODAY())</x:f>
        <x:v>-27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">
        <x:v>62</x:v>
      </x:c>
      <x:c r="K14" s="4" t="s">
        <x:v>63</x:v>
      </x:c>
      <x:c r="L14" s="4" t="s">
        <x:v>64</x:v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s">
        <x:v>65</x:v>
      </x:c>
      <x:c r="O14" s="4"/>
      <x:c r="P14" s="4"/>
      <x:c r="Q14" s="4"/>
      <x:c r="R14" s="4"/>
      <x:c r="S14" s="4" t="str">
        <x:v>Offer was valid through 31 July 2026 and is now expired.</x:v>
      </x:c>
      <x:c r="T14" s="5" t="n">
        <x:v>46240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s">
        <x:v>53</x:v>
      </x:c>
      <x:c r="C15" s="4" t="s">
        <x:v>66</x:v>
      </x:c>
      <x:c r="D15" s="4" t="s">
        <x:v>67</x:v>
      </x:c>
      <x:c r="E15" s="5"/>
      <x:c r="F15" s="5"/>
      <x:c r="G15" s="5" t="n">
        <x:v>46236</x:v>
      </x:c>
      <x:c r="H15" s="7" t="n">
        <x:f t="shared" si="1">IF(OR(C15="",G15=""),"",G15-TODAY())</x:f>
        <x:v>-25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s">
        <x:v>68</x:v>
      </x:c>
      <x:c r="K15" s="4" t="s">
        <x:v>69</x:v>
      </x:c>
      <x:c r="L15" s="4" t="s">
        <x:v>64</x:v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s">
        <x:v>70</x:v>
      </x:c>
      <x:c r="O15" s="4"/>
      <x:c r="P15" s="4"/>
      <x:c r="Q15" s="4"/>
      <x:c r="R15" s="4"/>
      <x:c r="S15" s="4" t="str">
        <x:v>Offer was valid through 2 August 2026 and is now expired.</x:v>
      </x:c>
      <x:c r="T15" s="5" t="n">
        <x:v>46240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s">
        <x:v>53</x:v>
      </x:c>
      <x:c r="C16" s="4" t="s">
        <x:v>71</x:v>
      </x:c>
      <x:c r="D16" s="4" t="s">
        <x:v>72</x:v>
      </x:c>
      <x:c r="E16" s="5"/>
      <x:c r="F16" s="5">
        <x:v>46001</x:v>
      </x:c>
      <x:c r="G16" s="5" t="n">
        <x:v>46259</x:v>
      </x:c>
      <x:c r="H16" s="7" t="n">
        <x:f t="shared" si="1">IF(OR(C16="",G16=""),"",G16-TODAY())</x:f>
        <x:v>-2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Expired</x:v>
      </x:c>
      <x:c r="J16" s="4" t="s">
        <x:v>73</x:v>
      </x:c>
      <x:c r="K16" s="4" t="s">
        <x:v>74</x:v>
      </x:c>
      <x:c r="L16" s="4" t="s">
        <x:v>75</x:v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s">
        <x:v>76</x:v>
      </x:c>
      <x:c r="O16" s="4"/>
      <x:c r="P16" s="4"/>
      <x:c r="Q16" s="4"/>
      <x:c r="R16" s="4"/>
      <x:c r="S16" s="4" t="str">
        <x:v>Offer is valid through 25 August 2026. Discounted products and digital-wallet payments are excluded.</x:v>
      </x:c>
      <x:c r="T16" s="5" t="n">
        <x:v>46240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s">
        <x:v>53</x:v>
      </x:c>
      <x:c r="C17" s="4" t="s">
        <x:v>77</x:v>
      </x:c>
      <x:c r="D17" s="4" t="s">
        <x:v>78</x:v>
      </x:c>
      <x:c r="E17" s="5"/>
      <x:c r="F17" s="5"/>
      <x:c r="G17" s="5" t="n">
        <x:v>46293</x:v>
      </x:c>
      <x:c r="H17" s="7" t="n">
        <x:f t="shared" si="1">IF(OR(C17="",G17=""),"",G17-TODAY())</x:f>
        <x:v>32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s">
        <x:v>79</x:v>
      </x:c>
      <x:c r="K17" s="4" t="s">
        <x:v>74</x:v>
      </x:c>
      <x:c r="L17" s="4" t="s">
        <x:v>75</x:v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s">
        <x:v>80</x:v>
      </x:c>
      <x:c r="O17" s="4"/>
      <x:c r="P17" s="4"/>
      <x:c r="Q17" s="4"/>
      <x:c r="R17" s="4"/>
      <x:c r="S17" s="4" t="str">
        <x:v>Official page explicitly states validity through 28 September 2026.</x:v>
      </x:c>
      <x:c r="T17" s="5" t="n">
        <x:v>46240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s">
        <x:v>53</x:v>
      </x:c>
      <x:c r="C18" s="4" t="s">
        <x:v>81</x:v>
      </x:c>
      <x:c r="D18" s="4" t="s">
        <x:v>82</x:v>
      </x:c>
      <x:c r="E18" s="5"/>
      <x:c r="F18" s="5"/>
      <x:c r="G18" s="5" t="n">
        <x:v>46295</x:v>
      </x:c>
      <x:c r="H18" s="7" t="n">
        <x:f t="shared" si="1">IF(OR(C18="",G18=""),"",G18-TODAY())</x:f>
        <x:v>34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s">
        <x:v>83</x:v>
      </x:c>
      <x:c r="K18" s="4" t="s">
        <x:v>84</x:v>
      </x:c>
      <x:c r="L18" s="4" t="s">
        <x:v>75</x:v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s">
        <x:v>85</x:v>
      </x:c>
      <x:c r="O18" s="4"/>
      <x:c r="P18" s="4"/>
      <x:c r="Q18" s="4"/>
      <x:c r="R18" s="4"/>
      <x:c r="S18" s="4" t="str">
        <x:v>Official page explicitly states validity through 30 September 2026. Discount code STCB applies.</x:v>
      </x:c>
      <x:c r="T18" s="5" t="n">
        <x:v>46240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s">
        <x:v>53</x:v>
      </x:c>
      <x:c r="C19" s="4" t="s">
        <x:v>86</x:v>
      </x:c>
      <x:c r="D19" s="4" t="s">
        <x:v>87</x:v>
      </x:c>
      <x:c r="E19" s="5"/>
      <x:c r="F19" s="5"/>
      <x:c r="G19" s="5" t="n">
        <x:v>46295</x:v>
      </x:c>
      <x:c r="H19" s="7" t="n">
        <x:f t="shared" si="1">IF(OR(C19="",G19=""),"",G19-TODAY())</x:f>
        <x:v>34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s">
        <x:v>88</x:v>
      </x:c>
      <x:c r="K19" s="4" t="s">
        <x:v>89</x:v>
      </x:c>
      <x:c r="L19" s="4" t="s">
        <x:v>75</x:v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s">
        <x:v>90</x:v>
      </x:c>
      <x:c r="O19" s="4"/>
      <x:c r="P19" s="4"/>
      <x:c r="Q19" s="4"/>
      <x:c r="R19" s="4"/>
      <x:c r="S19" s="4" t="str">
        <x:v>Official page explicitly states validity through 30 September 2026. Discount code STCB applies.</x:v>
      </x:c>
      <x:c r="T19" s="5" t="n">
        <x:v>46240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s">
        <x:v>53</x:v>
      </x:c>
      <x:c r="C20" s="4" t="s">
        <x:v>91</x:v>
      </x:c>
      <x:c r="D20" s="4" t="s">
        <x:v>92</x:v>
      </x:c>
      <x:c r="E20" s="5"/>
      <x:c r="F20" s="5"/>
      <x:c r="G20" s="5" t="n">
        <x:v>46295</x:v>
      </x:c>
      <x:c r="H20" s="7" t="n">
        <x:f t="shared" si="1">IF(OR(C20="",G20=""),"",G20-TODAY())</x:f>
        <x:v>34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s">
        <x:v>93</x:v>
      </x:c>
      <x:c r="K20" s="4" t="s">
        <x:v>94</x:v>
      </x:c>
      <x:c r="L20" s="4" t="s">
        <x:v>95</x:v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s">
        <x:v>96</x:v>
      </x:c>
      <x:c r="O20" s="4"/>
      <x:c r="P20" s="4"/>
      <x:c r="Q20" s="4"/>
      <x:c r="R20" s="4"/>
      <x:c r="S20" s="4" t="str">
        <x:v>Official page explicitly states validity through 30 September 2026.</x:v>
      </x:c>
      <x:c r="T20" s="5" t="n">
        <x:v>46240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s">
        <x:v>53</x:v>
      </x:c>
      <x:c r="C21" s="4" t="s">
        <x:v>97</x:v>
      </x:c>
      <x:c r="D21" s="4" t="s">
        <x:v>98</x:v>
      </x:c>
      <x:c r="E21" s="5"/>
      <x:c r="F21" s="5"/>
      <x:c r="G21" s="5" t="n">
        <x:v>46752</x:v>
      </x:c>
      <x:c r="H21" s="7" t="n">
        <x:f t="shared" si="1">IF(OR(C21="",G21=""),"",G21-TODAY())</x:f>
        <x:v>491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s">
        <x:v>99</x:v>
      </x:c>
      <x:c r="K21" s="4" t="s">
        <x:v>100</x:v>
      </x:c>
      <x:c r="L21" s="4" t="s">
        <x:v>58</x:v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s">
        <x:v>101</x:v>
      </x:c>
      <x:c r="O21" s="4"/>
      <x:c r="P21" s="4"/>
      <x:c r="Q21" s="4"/>
      <x:c r="R21" s="4"/>
      <x:c r="S21" s="4" t="str">
        <x:v>Official page now explicitly states validity through 31 December 2027. Offer mechanics vary by Al Othaim Entertainment destination.</x:v>
      </x:c>
      <x:c r="T21" s="5" t="n">
        <x:v>46240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s">
        <x:v>53</x:v>
      </x:c>
      <x:c r="C22" s="4" t="s">
        <x:v>102</x:v>
      </x:c>
      <x:c r="D22" s="4" t="s">
        <x:v>103</x:v>
      </x:c>
      <x:c r="E22" s="5"/>
      <x:c r="F22" s="5"/>
      <x:c r="G22" s="5" t="n">
        <x:v>46752</x:v>
      </x:c>
      <x:c r="H22" s="7" t="n">
        <x:f t="shared" si="1">IF(OR(C22="",G22=""),"",G22-TODAY())</x:f>
        <x:v>491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s">
        <x:v>104</x:v>
      </x:c>
      <x:c r="K22" s="4" t="s">
        <x:v>105</x:v>
      </x:c>
      <x:c r="L22" s="4" t="s">
        <x:v>106</x:v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s">
        <x:v>107</x:v>
      </x:c>
      <x:c r="O22" s="4"/>
      <x:c r="P22" s="4"/>
      <x:c r="Q22" s="4"/>
      <x:c r="R22" s="4"/>
      <x:c r="S22" s="4" t="str">
        <x:v>Official page now explicitly states validity through 31 December 2027. Digital-wallet payments are excluded.</x:v>
      </x:c>
      <x:c r="T22" s="5" t="n">
        <x:v>46240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s">
        <x:v>108</x:v>
      </x:c>
      <x:c r="C23" s="4" t="s">
        <x:v>109</x:v>
      </x:c>
      <x:c r="D23" s="4" t="s">
        <x:v>110</x:v>
      </x:c>
      <x:c r="E23" s="5"/>
      <x:c r="F23" s="5">
        <x:v>46184</x:v>
      </x:c>
      <x:c r="G23" s="5">
        <x:v>46222</x:v>
      </x:c>
      <x:c r="H23" s="7" t="n">
        <x:f t="shared" si="1">IF(OR(C23="",G23=""),"",G23-TODAY())</x:f>
        <x:v>-39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s">
        <x:v>111</x:v>
      </x:c>
      <x:c r="K23" s="4" t="s">
        <x:v>112</x:v>
      </x:c>
      <x:c r="L23" s="4" t="s">
        <x:v>113</x:v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s">
        <x:v>114</x:v>
      </x:c>
      <x:c r="O23" s="4" t="s">
        <x:v>115</x:v>
      </x:c>
      <x:c r="P23" s="4" t="s">
        <x:v>116</x:v>
      </x:c>
      <x:c r="Q23" s="63" t="s">
        <x:v>117</x:v>
      </x:c>
      <x:c r="R23" s="63" t="s">
        <x:v>118</x:v>
      </x:c>
      <x:c r="S23" s="4" t="s">
        <x:v>119</x:v>
      </x:c>
      <x:c r="T23" s="5" t="n">
        <x:v>46240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str">
        <x:v>Card</x:v>
      </x:c>
      <x:c r="C24" s="4" t="str">
        <x:v>Targeted Cash Reward on International Purchases</x:v>
      </x:c>
      <x:c r="D24" s="4" t="str">
        <x:v>Selected customers can earn a cash amount after meeting the international-spend requirement stated in an STC Bank SMS.</x:v>
      </x:c>
      <x:c r="E24" s="5"/>
      <x:c r="F24" s="5"/>
      <x:c r="G24" s="5" t="n">
        <x:v>46297</x:v>
      </x:c>
      <x:c r="H24" s="7" t="n">
        <x:f t="shared" si="1">IF(OR(C24="",G24=""),"",G24-TODAY())</x:f>
        <x:v>36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 t="str">
        <x:v>International POS and e-commerce purchases</x:v>
      </x:c>
      <x:c r="K24" s="4" t="str">
        <x:v>Cash amount specified in the customer SMS after meeting the stated minimum spend</x:v>
      </x:c>
      <x:c r="L24" s="4" t="str">
        <x:v>Selected customers who received the offer SMS; STC Bank Visa payment cards (Classic, Platinum, Signature), digital or physical</x:v>
      </x:c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str">
        <x:v>https://stcbank.com.sa/en/web/guest/w/blt-cash</x:v>
      </x:c>
      <x:c r="O24" s="4"/>
      <x:c r="P24" s="4"/>
      <x:c r="Q24" s="4"/>
      <x:c r="R24" s="4"/>
      <x:c r="S24" s="4" t="str">
        <x:v>Offer applies once per selected customer. Cash withdrawals and wallet/account top-ups are excluded; international purchases through supported e-wallets are eligible.</x:v>
      </x:c>
      <x:c r="T24" s="5" t="n">
        <x:v>46240</x:v>
      </x:c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1f20ef52c0471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s">
        <x:v>108</x:v>
      </x:c>
      <x:c r="C9" s="4" t="s">
        <x:v>121</x:v>
      </x:c>
      <x:c r="D9" s="4" t="s">
        <x:v>122</x:v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123</x:v>
      </x:c>
      <x:c r="K9" s="4" t="s">
        <x:v>124</x:v>
      </x:c>
      <x:c r="L9" s="4" t="s">
        <x:v>125</x:v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s">
        <x:v>126</x:v>
      </x:c>
      <x:c r="P9" s="4"/>
      <x:c r="Q9" s="63" t="s">
        <x:v>127</x:v>
      </x:c>
      <x:c r="R9" s="4"/>
      <x:c r="S9" s="4" t="s">
        <x:v>128</x:v>
      </x:c>
      <x:c r="T9" s="5" t="n">
        <x:v>46240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s">
        <x:v>108</x:v>
      </x:c>
      <x:c r="C10" s="4" t="s">
        <x:v>129</x:v>
      </x:c>
      <x:c r="D10" s="4" t="s">
        <x:v>130</x:v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s">
        <x:v>131</x:v>
      </x:c>
      <x:c r="K10" s="4" t="s">
        <x:v>132</x:v>
      </x:c>
      <x:c r="L10" s="4" t="s">
        <x:v>133</x:v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s">
        <x:v>134</x:v>
      </x:c>
      <x:c r="R10" s="4"/>
      <x:c r="S10" s="4" t="s">
        <x:v>128</x:v>
      </x:c>
      <x:c r="T10" s="5" t="n">
        <x:v>46240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s">
        <x:v>53</x:v>
      </x:c>
      <x:c r="C11" s="4" t="s">
        <x:v>135</x:v>
      </x:c>
      <x:c r="D11" s="4" t="s">
        <x:v>136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56</x:v>
      </x:c>
      <x:c r="K11" s="4" t="s">
        <x:v>137</x:v>
      </x:c>
      <x:c r="L11" s="4" t="s">
        <x:v>125</x:v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s">
        <x:v>138</x:v>
      </x:c>
      <x:c r="R11" s="4"/>
      <x:c r="S11" s="4" t="s">
        <x:v>128</x:v>
      </x:c>
      <x:c r="T11" s="5" t="n">
        <x:v>46240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s">
        <x:v>139</x:v>
      </x:c>
      <x:c r="C12" s="4" t="s">
        <x:v>140</x:v>
      </x:c>
      <x:c r="D12" s="4" t="s">
        <x:v>141</x:v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142</x:v>
      </x:c>
      <x:c r="K12" s="4" t="s">
        <x:v>143</x:v>
      </x:c>
      <x:c r="L12" s="4" t="s">
        <x:v>144</x:v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s">
        <x:v>145</x:v>
      </x:c>
      <x:c r="P12" s="4"/>
      <x:c r="Q12" s="63" t="str">
        <x:v>https://www.facebook.com/usebarq/videos/barq-transfer-fast-and-free/1218272083516944/</x:v>
      </x:c>
      <x:c r="R12" s="4"/>
      <x:c r="S12" s="4" t="str">
        <x:v>Current official posts in early August continue to promote fast, fee-free international transfers. No campaign end date is stated.</x:v>
      </x:c>
      <x:c r="T12" s="5" t="n">
        <x:v>46240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s">
        <x:v>21</x:v>
      </x:c>
      <x:c r="C13" s="4" t="s">
        <x:v>146</x:v>
      </x:c>
      <x:c r="D13" s="4" t="s">
        <x:v>147</x:v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s">
        <x:v>148</x:v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s">
        <x:v>149</x:v>
      </x:c>
      <x:c r="P13" s="63" t="s">
        <x:v>150</x:v>
      </x:c>
      <x:c r="Q13" s="63" t="str">
        <x:v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v>
      </x:c>
      <x:c r="R13" s="63" t="s">
        <x:v>151</x:v>
      </x:c>
      <x:c r="S13" s="4" t="str">
        <x:v>Current official posts continue to position barq Visa as having no international transaction fees. No campaign end date is stated.</x:v>
      </x:c>
      <x:c r="T13" s="5" t="n">
        <x:v>46240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s">
        <x:v>139</x:v>
      </x:c>
      <x:c r="C14" s="4" t="s">
        <x:v>152</x:v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s">
        <x:v>153</x:v>
      </x:c>
      <x:c r="K14" s="4" t="s">
        <x:v>154</x:v>
      </x:c>
      <x:c r="L14" s="4" t="s">
        <x:v>155</x:v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s">
        <x:v>156</x:v>
      </x:c>
      <x:c r="P14" s="4"/>
      <x:c r="Q14" s="4"/>
      <x:c r="R14" s="4"/>
      <x:c r="S14" s="4"/>
      <x:c r="T14" s="5" t="n">
        <x:v>46240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ddcf73619242a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1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s">
        <x:v>139</x:v>
      </x:c>
      <x:c r="C9" s="4" t="str">
        <x:v>International Transfer Prize Draw – SAR 110,000</x:v>
      </x:c>
      <x:c r="D9" s="4" t="str">
        <x:v>Each qualifying international transfer of SAR 1,000 or more entered a daily draw; 110 customers won SAR 1,000 each.</x:v>
      </x:c>
      <x:c r="E9" s="5"/>
      <x:c r="F9" s="5" t="n">
        <x:v>46188</x:v>
      </x:c>
      <x:c r="G9" s="5" t="n">
        <x:v>46209</x:v>
      </x:c>
      <x:c r="H9" s="7" t="n">
        <x:f t="shared" ref="H9:H42" si="1">IF(OR(C9="",G9=""),"",G9-TODAY())</x:f>
        <x:v>-52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str">
        <x:v>International transfers</x:v>
      </x:c>
      <x:c r="K9" s="4" t="str">
        <x:v>Five daily winners; SAR 1,000 per winner; 110 total winners and SAR 110,000 total prize pool</x:v>
      </x:c>
      <x:c r="L9" s="4" t="str">
        <x:v>Mobily Pay customers making international transfers of SAR 1,000 or more</x:v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str">
        <x:v>https://mobilypay.sa/ar/offers/offer-51.html</x:v>
      </x:c>
      <x:c r="O9" s="63" t="s">
        <x:v>158</x:v>
      </x:c>
      <x:c r="P9" s="63" t="s">
        <x:v>159</x:v>
      </x:c>
      <x:c r="Q9" s="63" t="s">
        <x:v>160</x:v>
      </x:c>
      <x:c r="R9" s="4"/>
      <x:c r="S9" s="4" t="str">
        <x:v>Campaign ran from 15 June to 6 July 2026 and is now expired. Cancelled or refunded transfers were excluded.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139</x:v>
      </x:c>
      <x:c r="C10" s="4" t="str">
        <x:v>Zero-Fee International Transfers – Aug–Oct 2026</x:v>
      </x:c>
      <x:c r="D10" s="4" t="str">
        <x:v>Qualifying international transfers are offered with zero transfer fees under corridor and amount thresholds stated on the official campaign page.</x:v>
      </x:c>
      <x:c r="E10" s="5"/>
      <x:c r="F10" s="5" t="n">
        <x:v>46235</x:v>
      </x:c>
      <x:c r="G10" s="5" t="n">
        <x:v>46326</x:v>
      </x:c>
      <x:c r="H10" s="7" t="n">
        <x:f t="shared" si="1">IF(OR(C10="",G10=""),"",G10-TODAY())</x:f>
        <x:v>65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str">
        <x:v>International transfers through MoneyGram</x:v>
      </x:c>
      <x:c r="K10" s="4" t="str">
        <x:v>Zero transfer fees on qualifying transfers; standard SAR 9 fees apply below certain corridor/amount thresholds</x:v>
      </x:c>
      <x:c r="L10" s="4" t="str">
        <x:v>Mobily Pay customers; corridor, currency, amount threshold, VAT and MoneyGram terms apply</x:v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str">
        <x:v>https://mobilypay.sa/ar/offers/offer-56.html</x:v>
      </x:c>
      <x:c r="O10" s="63" t="s">
        <x:v>161</x:v>
      </x:c>
      <x:c r="P10" s="4"/>
      <x:c r="Q10" s="63" t="s">
        <x:v>162</x:v>
      </x:c>
      <x:c r="R10" s="4"/>
      <x:c r="S10" s="4" t="str">
        <x:v>Campaign is valid from 1 August to 31 October 2026. The official page lists different fee thresholds by corridor/currency; all listed fees are subject to VAT.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s">
        <x:v>139</x:v>
      </x:c>
      <x:c r="C11" s="4" t="s">
        <x:v>163</x:v>
      </x:c>
      <x:c r="D11" s="4" t="s">
        <x:v>164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142</x:v>
      </x:c>
      <x:c r="K11" s="4" t="s">
        <x:v>165</x:v>
      </x:c>
      <x:c r="L11" s="4" t="s">
        <x:v>166</x:v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s">
        <x:v>167</x:v>
      </x:c>
      <x:c r="R11" s="4"/>
      <x:c r="S11" s="4" t="s">
        <x:v>168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s">
        <x:v>53</x:v>
      </x:c>
      <x:c r="C12" s="4" t="s">
        <x:v>169</x:v>
      </x:c>
      <x:c r="D12" s="4" t="s">
        <x:v>170</x:v>
      </x:c>
      <x:c r="E12" s="5"/>
      <x:c r="F12" s="5">
        <x:v>45505</x:v>
      </x:c>
      <x:c r="G12" s="5">
        <x:v>46387</x:v>
      </x:c>
      <x:c r="H12" s="7" t="n">
        <x:f t="shared" si="1">IF(OR(C12="",G12=""),"",G12-TODAY())</x:f>
        <x:v>126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s">
        <x:v>171</x:v>
      </x:c>
      <x:c r="K12" s="4" t="s">
        <x:v>172</x:v>
      </x:c>
      <x:c r="L12" s="4" t="s">
        <x:v>173</x:v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s">
        <x:v>174</x:v>
      </x:c>
      <x:c r="O12" s="4"/>
      <x:c r="P12" s="4"/>
      <x:c r="Q12" s="4"/>
      <x:c r="R12" s="4"/>
      <x:c r="S12" s="4" t="s">
        <x:v>175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s">
        <x:v>21</x:v>
      </x:c>
      <x:c r="C13" s="4" t="s">
        <x:v>176</x:v>
      </x:c>
      <x:c r="D13" s="4" t="s">
        <x:v>177</x:v>
      </x:c>
      <x:c r="E13" s="5"/>
      <x:c r="F13" s="5">
        <x:v>46222</x:v>
      </x:c>
      <x:c r="G13" s="5">
        <x:v>46253</x:v>
      </x:c>
      <x:c r="H13" s="7" t="n">
        <x:f t="shared" si="1">IF(OR(C13="",G13=""),"",G13-TODAY())</x:f>
        <x:v>-8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Expired</x:v>
      </x:c>
      <x:c r="J13" s="4" t="s">
        <x:v>178</x:v>
      </x:c>
      <x:c r="K13" s="1" t="s">
        <x:v>179</x:v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s">
        <x:v>180</x:v>
      </x:c>
      <x:c r="O13" s="4"/>
      <x:c r="P13" s="63" t="s">
        <x:v>181</x:v>
      </x:c>
      <x:c r="Q13" s="63" t="s">
        <x:v>182</x:v>
      </x:c>
      <x:c r="R13" s="63" t="s">
        <x:v>183</x:v>
      </x:c>
      <x:c r="S13" s="4" t="str">
        <x:v>Campaign is valid from 19 July to 19 August 2026. It includes 0% international transaction fees for eligible newly issued Platinum and Signature Visa cards, free plastic-card issuance, and eligible POS/e-commerce purchases.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s">
        <x:v>184</x:v>
      </x:c>
      <x:c r="C14" s="4" t="s">
        <x:v>185</x:v>
      </x:c>
      <x:c r="D14" s="4" t="s">
        <x:v>186</x:v>
      </x:c>
      <x:c r="E14" s="5"/>
      <x:c r="F14" s="5">
        <x:v>46218</x:v>
      </x:c>
      <x:c r="G14" s="5">
        <x:v>46234</x:v>
      </x:c>
      <x:c r="H14" s="7" t="n">
        <x:f t="shared" si="1">IF(OR(C14="",G14=""),"",G14-TODAY())</x:f>
        <x:v>-27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">
        <x:v>187</x:v>
      </x:c>
      <x:c r="K14" s="4" t="s">
        <x:v>188</x:v>
      </x:c>
      <x:c r="L14" s="4" t="s">
        <x:v>189</x:v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s">
        <x:v>190</x:v>
      </x:c>
      <x:c r="O14" s="63" t="s">
        <x:v>191</x:v>
      </x:c>
      <x:c r="P14" s="63" t="s">
        <x:v>192</x:v>
      </x:c>
      <x:c r="Q14" s="63" t="s">
        <x:v>193</x:v>
      </x:c>
      <x:c r="R14" s="4"/>
      <x:c r="S14" s="4" t="str">
        <x:v>Offer ended on 31 July 2026 and is now expired.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321246c6b94b6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2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s">
        <x:v>195</x:v>
      </x:c>
      <x:c r="C9" s="4" t="s">
        <x:v>196</x:v>
      </x:c>
      <x:c r="D9" s="4" t="s">
        <x:v>197</x:v>
      </x:c>
      <x:c r="E9" s="5">
        <x:v>46227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198</x:v>
      </x:c>
      <x:c r="K9" s="4" t="s">
        <x:v>199</x:v>
      </x:c>
      <x:c r="L9" s="4" t="s">
        <x:v>200</x:v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s">
        <x:v>201</x:v>
      </x:c>
      <x:c r="P9" s="63" t="s">
        <x:v>202</x:v>
      </x:c>
      <x:c r="Q9" s="63" t="s">
        <x:v>203</x:v>
      </x:c>
      <x:c r="R9" s="4"/>
      <x:c r="S9" s="4" t="s">
        <x:v>128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53</x:v>
      </x:c>
      <x:c r="C10" s="4" t="s">
        <x:v>204</x:v>
      </x:c>
      <x:c r="D10" s="4" t="s">
        <x:v>205</x:v>
      </x:c>
      <x:c r="E10" s="5">
        <x:v>46226</x:v>
      </x:c>
      <x:c r="F10" s="5">
        <x:v>46204</x:v>
      </x:c>
      <x:c r="G10" s="5">
        <x:v>46234</x:v>
      </x:c>
      <x:c r="H10" s="7" t="n">
        <x:f t="shared" si="1">IF(OR(C10="",G10=""),"",G10-TODAY())</x:f>
        <x:v>-27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s">
        <x:v>206</x:v>
      </x:c>
      <x:c r="K10" s="4" t="s">
        <x:v>207</x:v>
      </x:c>
      <x:c r="L10" s="4" t="s">
        <x:v>208</x:v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s">
        <x:v>209</x:v>
      </x:c>
      <x:c r="P10" s="4"/>
      <x:c r="Q10" s="4"/>
      <x:c r="R10" s="4"/>
      <x:c r="S10" s="4" t="str">
        <x:v>Offer was valid from 1 July through 31 July 2026 and is now expired.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s">
        <x:v>139</x:v>
      </x:c>
      <x:c r="C11" s="4" t="s">
        <x:v>210</x:v>
      </x:c>
      <x:c r="D11" s="4" t="s">
        <x:v>211</x:v>
      </x:c>
      <x:c r="E11" s="5"/>
      <x:c r="F11" s="5"/>
      <x:c r="G11" s="5" t="n">
        <x:v>46173</x:v>
      </x:c>
      <x:c r="H11" s="7" t="n">
        <x:f t="shared" si="1">IF(OR(C11="",G11=""),"",G11-TODAY())</x:f>
        <x:v>-88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s">
        <x:v>142</x:v>
      </x:c>
      <x:c r="K11" s="4" t="s">
        <x:v>212</x:v>
      </x:c>
      <x:c r="L11" s="4" t="s">
        <x:v>213</x:v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s">
        <x:v>214</x:v>
      </x:c>
      <x:c r="P11" s="63" t="s">
        <x:v>215</x:v>
      </x:c>
      <x:c r="Q11" s="4" t="s">
        <x:v>216</x:v>
      </x:c>
      <x:c r="R11" s="4"/>
      <x:c r="S11" s="4" t="str">
        <x:v>The winner-announcement post states that the May edition remained available until 31 May 2026; the campaign is expired.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s">
        <x:v>139</x:v>
      </x:c>
      <x:c r="C12" s="4" t="s">
        <x:v>217</x:v>
      </x:c>
      <x:c r="D12" s="4" t="s">
        <x:v>218</x:v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142</x:v>
      </x:c>
      <x:c r="K12" s="4" t="s">
        <x:v>219</x:v>
      </x:c>
      <x:c r="L12" s="4" t="s">
        <x:v>220</x:v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s">
        <x:v>221</x:v>
      </x:c>
      <x:c r="P12" s="63" t="s">
        <x:v>222</x:v>
      </x:c>
      <x:c r="Q12" s="63" t="s">
        <x:v>223</x:v>
      </x:c>
      <x:c r="R12" s="4"/>
      <x:c r="S12" s="4" t="s">
        <x:v>224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s">
        <x:v>21</x:v>
      </x:c>
      <x:c r="C13" s="4" t="str">
        <x:v>Zero International Card Transaction Fees</x:v>
      </x:c>
      <x:c r="D13" s="4" t="str">
        <x:v>0% fees on eligible international POS purchases and international ATM withdrawals outside Saudi Arabia.</x:v>
      </x:c>
      <x:c r="E13" s="5"/>
      <x:c r="F13" s="5" t="n">
        <x:v>46143</x:v>
      </x:c>
      <x:c r="G13" s="5" t="n">
        <x:v>46387</x:v>
      </x:c>
      <x:c r="H13" s="7" t="n">
        <x:f t="shared" si="1">IF(OR(C13="",G13=""),"",G13-TODAY())</x:f>
        <x:v>126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tr">
        <x:v>International POS purchases and international ATM withdrawals</x:v>
      </x:c>
      <x:c r="K13" s="4" t="str">
        <x:v>0% international transaction fees and zero fees on overseas ATM withdrawals</x:v>
      </x:c>
      <x:c r="L13" s="4" t="str">
        <x:v>tiqmo customers using eligible cards while travelling outside Saudi Arabia</x:v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str">
        <x:v>https://www.tiqmo.com/ar/offers</x:v>
      </x:c>
      <x:c r="O13" s="63" t="s">
        <x:v>225</x:v>
      </x:c>
      <x:c r="P13" s="63" t="s">
        <x:v>226</x:v>
      </x:c>
      <x:c r="Q13" s="63" t="s">
        <x:v>227</x:v>
      </x:c>
      <x:c r="R13" s="63" t="s">
        <x:v>228</x:v>
      </x:c>
      <x:c r="S13" s="4" t="str">
        <x:v>Offer is valid from 1 May to 31 December 2026. It applies outside Saudi Arabia and excludes international online stores, websites and mobile applications. tiqmo standard terms apply.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str">
        <x:v>Card</x:v>
      </x:c>
      <x:c r="C14" s="4" t="str">
        <x:v>SAR 250,000 Spend &amp; Win Campaign</x:v>
      </x:c>
      <x:c r="D14" s="4" t="str">
        <x:v>Card spending generated chances to win SAR 250,000, with enhanced chances on international purchases.</x:v>
      </x:c>
      <x:c r="E14" s="5"/>
      <x:c r="F14" s="5"/>
      <x:c r="G14" s="5" t="n">
        <x:v>46234</x:v>
      </x:c>
      <x:c r="H14" s="7" t="n">
        <x:f t="shared" si="1">IF(OR(C14="",G14=""),"",G14-TODAY())</x:f>
        <x:v>-27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str">
        <x:v>Card purchases</x:v>
      </x:c>
      <x:c r="K14" s="4" t="str">
        <x:v>Each SAR spent generated multiple chances; international purchases generated up to eight chances per SAR</x:v>
      </x:c>
      <x:c r="L14" s="4" t="str">
        <x:v>tiqmo card customers</x:v>
      </x:c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 t="str">
        <x:v>https://www.tiqmo.com/ar/offers</x:v>
      </x:c>
      <x:c r="O14" s="4"/>
      <x:c r="P14" s="4" t="str">
        <x:v>https://x.com/tiqmo/status/2082496811798085847</x:v>
      </x:c>
      <x:c r="Q14" s="4" t="str">
        <x:v>https://www.facebook.com/Tiqmoksa/posts/sar-250000-cashbacksimple-every-riyal-you-spend-a-chance-to-win-sar-250000-every/1001313055996026/</x:v>
      </x:c>
      <x:c r="R14" s="4"/>
      <x:c r="S14" s="4" t="str">
        <x:v>An official X post dated 29 July stated that two days remained, so the campaign end date is recorded as 31 July 2026. The campaign is retained as recent expired context.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fbabd9ad8d42e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229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9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s">
        <x:v>21</x:v>
      </x:c>
      <x:c r="C9" s="4" t="s">
        <x:v>230</x:v>
      </x:c>
      <x:c r="D9" s="4" t="s">
        <x:v>231</x:v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s">
        <x:v>232</x:v>
      </x:c>
      <x:c r="K9" s="4" t="s">
        <x:v>233</x:v>
      </x:c>
      <x:c r="L9" s="4" t="s">
        <x:v>234</x:v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s">
        <x:v>235</x:v>
      </x:c>
      <x:c r="O9" s="4"/>
      <x:c r="P9" s="63" t="s">
        <x:v>236</x:v>
      </x:c>
      <x:c r="Q9" s="4" t="s">
        <x:v>237</x:v>
      </x:c>
      <x:c r="R9" s="4"/>
      <x:c r="S9" s="4" t="s">
        <x:v>238</x:v>
      </x:c>
      <x:c r="T9" s="5" t="n">
        <x:v>46240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s">
        <x:v>53</x:v>
      </x:c>
      <x:c r="C10" s="4" t="s">
        <x:v>239</x:v>
      </x:c>
      <x:c r="D10" s="4" t="s">
        <x:v>240</x:v>
      </x:c>
      <x:c r="E10" s="5"/>
      <x:c r="F10" s="5"/>
      <x:c r="G10" s="5">
        <x:v>46387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s">
        <x:v>241</x:v>
      </x:c>
      <x:c r="K10" s="4" t="s">
        <x:v>242</x:v>
      </x:c>
      <x:c r="L10" s="4" t="s">
        <x:v>243</x:v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s">
        <x:v>244</x:v>
      </x:c>
      <x:c r="O10" s="4"/>
      <x:c r="P10" s="4"/>
      <x:c r="Q10" s="4"/>
      <x:c r="R10" s="4"/>
      <x:c r="S10" s="4" t="s">
        <x:v>245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s">
        <x:v>53</x:v>
      </x:c>
      <x:c r="C11" s="4" t="s">
        <x:v>246</x:v>
      </x:c>
      <x:c r="D11" s="4" t="s">
        <x:v>247</x:v>
      </x:c>
      <x:c r="E11" s="5"/>
      <x:c r="F11" s="5"/>
      <x:c r="G11" s="5">
        <x:v>46387</x:v>
      </x:c>
      <x:c r="H11" s="7" t="n">
        <x:f t="shared" si="1">IF(OR(C11="",G11=""),"",G11-TODAY())</x:f>
        <x:v>126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s">
        <x:v>248</x:v>
      </x:c>
      <x:c r="K11" s="4" t="s">
        <x:v>249</x:v>
      </x:c>
      <x:c r="L11" s="4" t="s">
        <x:v>250</x:v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s">
        <x:v>251</x:v>
      </x:c>
      <x:c r="O11" s="4"/>
      <x:c r="P11" s="4"/>
      <x:c r="Q11" s="4"/>
      <x:c r="R11" s="4"/>
      <x:c r="S11" s="4" t="s">
        <x:v>252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s">
        <x:v>53</x:v>
      </x:c>
      <x:c r="C12" s="4" t="s">
        <x:v>253</x:v>
      </x:c>
      <x:c r="D12" s="4" t="s">
        <x:v>254</x:v>
      </x:c>
      <x:c r="E12" s="5"/>
      <x:c r="F12" s="5"/>
      <x:c r="G12" s="5">
        <x:v>46387</x:v>
      </x:c>
      <x:c r="H12" s="7" t="n">
        <x:f t="shared" si="1">IF(OR(C12="",G12=""),"",G12-TODAY())</x:f>
        <x:v>126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s">
        <x:v>255</x:v>
      </x:c>
      <x:c r="K12" s="4" t="s">
        <x:v>256</x:v>
      </x:c>
      <x:c r="L12" s="4" t="s">
        <x:v>243</x:v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s">
        <x:v>257</x:v>
      </x:c>
      <x:c r="O12" s="4"/>
      <x:c r="P12" s="4"/>
      <x:c r="Q12" s="4"/>
      <x:c r="R12" s="4"/>
      <x:c r="S12" s="4" t="s">
        <x:v>258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s">
        <x:v>53</x:v>
      </x:c>
      <x:c r="C13" s="4" t="s">
        <x:v>259</x:v>
      </x:c>
      <x:c r="D13" s="4" t="s">
        <x:v>260</x:v>
      </x:c>
      <x:c r="E13" s="5"/>
      <x:c r="F13" s="5"/>
      <x:c r="G13" s="5">
        <x:v>46387</x:v>
      </x:c>
      <x:c r="H13" s="7" t="n">
        <x:f t="shared" si="1">IF(OR(C13="",G13=""),"",G13-TODAY())</x:f>
        <x:v>126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s">
        <x:v>261</x:v>
      </x:c>
      <x:c r="K13" s="4" t="s">
        <x:v>262</x:v>
      </x:c>
      <x:c r="L13" s="4" t="s">
        <x:v>250</x:v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s">
        <x:v>263</x:v>
      </x:c>
      <x:c r="O13" s="4"/>
      <x:c r="P13" s="4"/>
      <x:c r="Q13" s="4"/>
      <x:c r="R13" s="4"/>
      <x:c r="S13" s="4" t="s">
        <x:v>264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s">
        <x:v>53</x:v>
      </x:c>
      <x:c r="C14" s="4" t="s">
        <x:v>265</x:v>
      </x:c>
      <x:c r="D14" s="4" t="s">
        <x:v>266</x:v>
      </x:c>
      <x:c r="E14" s="5"/>
      <x:c r="F14" s="5"/>
      <x:c r="G14" s="5">
        <x:v>46387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s">
        <x:v>267</x:v>
      </x:c>
      <x:c r="K14" s="4" t="s">
        <x:v>268</x:v>
      </x:c>
      <x:c r="L14" s="4" t="s">
        <x:v>243</x:v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s">
        <x:v>269</x:v>
      </x:c>
      <x:c r="O14" s="4"/>
      <x:c r="P14" s="4"/>
      <x:c r="Q14" s="4"/>
      <x:c r="R14" s="4"/>
      <x:c r="S14" s="4" t="s">
        <x:v>270</x:v>
      </x:c>
      <x:c r="T14" s="5" t="n">
        <x:v>46240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s">
        <x:v>53</x:v>
      </x:c>
      <x:c r="C15" s="4" t="s">
        <x:v>271</x:v>
      </x:c>
      <x:c r="D15" s="4" t="s">
        <x:v>272</x:v>
      </x:c>
      <x:c r="E15" s="5"/>
      <x:c r="F15" s="5"/>
      <x:c r="G15" s="5">
        <x:v>46203</x:v>
      </x:c>
      <x:c r="H15" s="7" t="n">
        <x:f t="shared" si="1">IF(OR(C15="",G15=""),"",G15-TODAY())</x:f>
        <x:v>-58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s">
        <x:v>93</x:v>
      </x:c>
      <x:c r="K15" s="4" t="s">
        <x:v>273</x:v>
      </x:c>
      <x:c r="L15" s="4" t="s">
        <x:v>274</x:v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s">
        <x:v>275</x:v>
      </x:c>
      <x:c r="O15" s="4"/>
      <x:c r="P15" s="4"/>
      <x:c r="Q15" s="4"/>
      <x:c r="R15" s="4"/>
      <x:c r="S15" s="4" t="s">
        <x:v>276</x:v>
      </x:c>
      <x:c r="T15" s="5" t="n">
        <x:v>46240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s">
        <x:v>277</x:v>
      </x:c>
      <x:c r="C16" s="4" t="s">
        <x:v>278</x:v>
      </x:c>
      <x:c r="D16" s="4" t="s">
        <x:v>279</x:v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s">
        <x:v>280</x:v>
      </x:c>
      <x:c r="K16" s="4" t="s">
        <x:v>281</x:v>
      </x:c>
      <x:c r="L16" s="4" t="s">
        <x:v>282</x:v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s">
        <x:v>283</x:v>
      </x:c>
      <x:c r="Q16" s="4"/>
      <x:c r="R16" s="4"/>
      <x:c r="S16" s="4" t="s">
        <x:v>284</x:v>
      </x:c>
      <x:c r="T16" s="5" t="n">
        <x:v>46240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str">
        <x:v>Remittance</x:v>
      </x:c>
      <x:c r="C17" s="124" t="str">
        <x:v>International Transfer Scratch &amp; Win – Up to SAR 10,000</x:v>
      </x:c>
      <x:c r="D17" s="124" t="str">
        <x:v>Every international transfer generates a scratch chance to win a cash prize of up to SAR 10,000.</x:v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str">
        <x:v>International transfers</x:v>
      </x:c>
      <x:c r="K17" s="124" t="str">
        <x:v>Scratch-and-win cash prizes up to SAR 10,000</x:v>
      </x:c>
      <x:c r="L17" s="124" t="str">
        <x:v>urpay customers making eligible international transfers; provider terms apply</x:v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str">
        <x:v>https://www.facebook.com/urpay.sa/posts/scratch-win-with-every-international-transfer-via-urpay-and-you-could-win-up-to-/1079237764323076/</x:v>
      </x:c>
      <x:c r="R17" s="124"/>
      <x:c r="S17" s="124" t="str">
        <x:v>A direct official Facebook post promotes scratch-and-win rewards up to SAR 10,000. The post does not state a campaign end date.</x:v>
      </x:c>
      <x:c r="T17" s="125" t="n">
        <x:v>46240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0a4e84398a4ea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285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str">
        <x:v>Merchant Offers (Count Only): 0</x:v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 t="n">
        <x:v>0</x:v>
      </x:c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s">
        <x:v>21</x:v>
      </x:c>
      <x:c r="C9" s="4" t="s">
        <x:v>286</x:v>
      </x:c>
      <x:c r="D9" s="4" t="s">
        <x:v>287</x:v>
      </x:c>
      <x:c r="E9" s="5"/>
      <x:c r="F9" s="5">
        <x:v>46210</x:v>
      </x:c>
      <x:c r="G9" s="5">
        <x:v>46241</x:v>
      </x:c>
      <x:c r="H9" s="7" t="n">
        <x:f t="shared" ref="H9:H42" si="1">IF(OR(C9="",G9=""),"",G9-TODAY())</x:f>
        <x:v>-20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s">
        <x:v>288</x:v>
      </x:c>
      <x:c r="K9" s="4" t="s">
        <x:v>289</x:v>
      </x:c>
      <x:c r="L9" s="4" t="s">
        <x:v>290</x:v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s">
        <x:v>291</x:v>
      </x:c>
      <x:c r="P9" s="4" t="s">
        <x:v>292</x:v>
      </x:c>
      <x:c r="Q9" s="63" t="s">
        <x:v>293</x:v>
      </x:c>
      <x:c r="R9" s="4"/>
      <x:c r="S9" s="4" t="s">
        <x:v>294</x:v>
      </x:c>
      <x:c r="T9" s="5" t="n">
        <x:v>46240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s">
        <x:v>21</x:v>
      </x:c>
      <x:c r="C10" s="4" t="s">
        <x:v>295</x:v>
      </x:c>
      <x:c r="D10" s="4" t="str">
        <x:v>Use alinma pay Cashback Cards internationally with no foreign transaction fees, no fees on the first two international cash withdrawals, and cashback on eligible purchases.</x:v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str">
        <x:v>International card purchases and overseas ATM withdrawals</x:v>
      </x:c>
      <x:c r="K10" s="4" t="str">
        <x:v>Zero international transaction fees, first two international cash withdrawals free, plus cashback on eligible purchases</x:v>
      </x:c>
      <x:c r="L10" s="4" t="s">
        <x:v>296</x:v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s">
        <x:v>297</x:v>
      </x:c>
      <x:c r="R10" s="4"/>
      <x:c r="S10" s="4" t="str">
        <x:v>Current summer messaging confirms no international transaction fees, no fees on the first two international cash withdrawals, and cashback on eligible purchases. No campaign end date is stated.</x:v>
      </x:c>
      <x:c r="T10" s="5" t="n">
        <x:v>46240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s">
        <x:v>139</x:v>
      </x:c>
      <x:c r="C11" s="4" t="s">
        <x:v>298</x:v>
      </x:c>
      <x:c r="D11" s="4" t="s">
        <x:v>299</x:v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s">
        <x:v>300</x:v>
      </x:c>
      <x:c r="K11" s="4" t="s">
        <x:v>301</x:v>
      </x:c>
      <x:c r="L11" s="4" t="s">
        <x:v>302</x:v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s">
        <x:v>303</x:v>
      </x:c>
      <x:c r="P11" s="4" t="s">
        <x:v>304</x:v>
      </x:c>
      <x:c r="Q11" s="63" t="s">
        <x:v>305</x:v>
      </x:c>
      <x:c r="R11" s="4"/>
      <x:c r="S11" s="4" t="s">
        <x:v>306</x:v>
      </x:c>
      <x:c r="T11" s="5" t="n">
        <x:v>46240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s">
        <x:v>139</x:v>
      </x:c>
      <x:c r="C12" s="4" t="s">
        <x:v>307</x:v>
      </x:c>
      <x:c r="D12" s="4" t="s">
        <x:v>308</x:v>
      </x:c>
      <x:c r="E12" s="5">
        <x:v>46068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s">
        <x:v>309</x:v>
      </x:c>
      <x:c r="K12" s="4" t="s">
        <x:v>310</x:v>
      </x:c>
      <x:c r="L12" s="4" t="s">
        <x:v>311</x:v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s">
        <x:v>312</x:v>
      </x:c>
      <x:c r="R12" s="4"/>
      <x:c r="S12" s="4" t="s">
        <x:v>168</x:v>
      </x:c>
      <x:c r="T12" s="5" t="n">
        <x:v>46240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str">
        <x:v>Musaned</x:v>
      </x:c>
      <x:c r="C13" s="4" t="str">
        <x:v>Musaned Salary Transfer – 100% Cashback Draw</x:v>
      </x:c>
      <x:c r="D13" s="4" t="str">
        <x:v>Transfer a domestic worker's salary through Musaned in alinma pay for a chance to win 100% cashback.</x:v>
      </x:c>
      <x:c r="E13" s="5" t="n">
        <x:v>46239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str">
        <x:v>Domestic worker salary transfer through Musaned</x:v>
      </x:c>
      <x:c r="K13" s="4" t="str">
        <x:v>Three winners receive 100% cashback up to SAR 1,000</x:v>
      </x:c>
      <x:c r="L13" s="4" t="str">
        <x:v>alinma pay customers transferring domestic-worker salaries through Musaned</x:v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str">
        <x:v>https://www.instagram.com/alinmapay/p/DbqaY05mm9E/</x:v>
      </x:c>
      <x:c r="P13" s="4" t="str">
        <x:v>https://x.com/alinmapay/status/2085018248685232195</x:v>
      </x:c>
      <x:c r="Q13" s="4"/>
      <x:c r="R13" s="4"/>
      <x:c r="S13" s="4" t="str">
        <x:v>Official Instagram and X posts announce three winners, each receiving 100% cashback up to SAR 1,000. The campaign end date is not stated.</x:v>
      </x:c>
      <x:c r="T13" s="5" t="n">
        <x:v>46240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/>
      <x:c r="C14" s="4"/>
      <x:c r="D14" s="4"/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9c17226a4e4a7d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313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314</x:v>
      </x:c>
      <x:c r="B4" s="26" t="s">
        <x:v>315</x:v>
      </x:c>
      <x:c r="C4" s="26" t="s">
        <x:v>316</x:v>
      </x:c>
      <x:c r="D4" s="26" t="s">
        <x:v>317</x:v>
      </x:c>
    </x:row>
    <x:row r="5" ht="38.650001525878906" customHeight="1">
      <x:c r="A5" s="27" t="s">
        <x:v>139</x:v>
      </x:c>
      <x:c r="B5" s="27" t="s">
        <x:v>318</x:v>
      </x:c>
      <x:c r="C5" s="27" t="s">
        <x:v>319</x:v>
      </x:c>
      <x:c r="D5" s="27" t="s">
        <x:v>320</x:v>
      </x:c>
    </x:row>
    <x:row r="6" ht="38.650001525878906" customHeight="1">
      <x:c r="A6" s="4" t="s">
        <x:v>277</x:v>
      </x:c>
      <x:c r="B6" s="4" t="s">
        <x:v>318</x:v>
      </x:c>
      <x:c r="C6" s="4" t="s">
        <x:v>321</x:v>
      </x:c>
      <x:c r="D6" s="4" t="s">
        <x:v>322</x:v>
      </x:c>
    </x:row>
    <x:row r="7" ht="38.650001525878906" customHeight="1">
      <x:c r="A7" s="4" t="s">
        <x:v>195</x:v>
      </x:c>
      <x:c r="B7" s="4" t="s">
        <x:v>318</x:v>
      </x:c>
      <x:c r="C7" s="4" t="s">
        <x:v>323</x:v>
      </x:c>
      <x:c r="D7" s="4" t="s">
        <x:v>324</x:v>
      </x:c>
    </x:row>
    <x:row r="8" ht="38.650001525878906" customHeight="1">
      <x:c r="A8" s="4" t="s">
        <x:v>21</x:v>
      </x:c>
      <x:c r="B8" s="4" t="s">
        <x:v>318</x:v>
      </x:c>
      <x:c r="C8" s="4" t="s">
        <x:v>325</x:v>
      </x:c>
      <x:c r="D8" s="4" t="s">
        <x:v>326</x:v>
      </x:c>
    </x:row>
    <x:row r="9" ht="38.650001525878906" customHeight="1">
      <x:c r="A9" s="4" t="s">
        <x:v>108</x:v>
      </x:c>
      <x:c r="B9" s="4" t="s">
        <x:v>318</x:v>
      </x:c>
      <x:c r="C9" s="4" t="s">
        <x:v>327</x:v>
      </x:c>
      <x:c r="D9" s="4" t="s">
        <x:v>328</x:v>
      </x:c>
    </x:row>
    <x:row r="10" ht="38.650001525878906" customHeight="1">
      <x:c r="A10" s="28" t="s">
        <x:v>53</x:v>
      </x:c>
      <x:c r="B10" s="28" t="s">
        <x:v>329</x:v>
      </x:c>
      <x:c r="C10" s="28" t="s">
        <x:v>330</x:v>
      </x:c>
      <x:c r="D10" s="28" t="s">
        <x:v>331</x:v>
      </x:c>
    </x:row>
    <x:row r="11" ht="38.650001525878906" customHeight="1">
      <x:c r="A11" s="4" t="s">
        <x:v>184</x:v>
      </x:c>
      <x:c r="B11" s="4" t="s">
        <x:v>332</x:v>
      </x:c>
      <x:c r="C11" s="4" t="s">
        <x:v>333</x:v>
      </x:c>
      <x:c r="D11" s="4" t="s">
        <x:v>334</x:v>
      </x:c>
    </x:row>
    <x:row r="14" ht="16.5">
      <x:c r="A14" s="46" t="s">
        <x:v>335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336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337</x:v>
      </x:c>
      <x:c r="B24" s="21" t="s">
        <x:v>338</x:v>
      </x:c>
      <x:c r="D24" s="29" t="s">
        <x:v>339</x:v>
      </x:c>
      <x:c r="E24" s="29" t="s">
        <x:v>340</x:v>
      </x:c>
      <x:c r="F24" s="29" t="s">
        <x:v>341</x:v>
      </x:c>
      <x:c r="G24" s="29" t="s">
        <x:v>342</x:v>
      </x:c>
      <x:c r="H24" s="29" t="s">
        <x:v>343</x:v>
      </x:c>
    </x:row>
    <x:row r="25" ht="46.650001525878906" customHeight="1">
      <x:c r="A25" s="1" t="s">
        <x:v>344</x:v>
      </x:c>
      <x:c r="B25" s="1" t="str">
        <x:v>Campaign rows are populated automatically from approved monitoring data.</x:v>
      </x:c>
      <x:c r="D25" s="4" t="s">
        <x:v>345</x:v>
      </x:c>
      <x:c r="E25" s="4" t="s">
        <x:v>346</x:v>
      </x:c>
      <x:c r="F25" s="4" t="s">
        <x:v>347</x:v>
      </x:c>
      <x:c r="G25" s="4" t="s">
        <x:v>348</x:v>
      </x:c>
      <x:c r="H25" s="4" t="s">
        <x:v>349</x:v>
      </x:c>
    </x:row>
    <x:row r="26" ht="46.650001525878906" customHeight="1">
      <x:c r="A26" s="1" t="s">
        <x:v>350</x:v>
      </x:c>
      <x:c r="B26" s="1" t="str">
        <x:v>Merchant offers are shown only as an active approved count in each competitor sheet.</x:v>
      </x:c>
      <x:c r="D26" s="4" t="s">
        <x:v>351</x:v>
      </x:c>
      <x:c r="E26" s="4" t="s">
        <x:v>352</x:v>
      </x:c>
      <x:c r="F26" s="4" t="s">
        <x:v>353</x:v>
      </x:c>
      <x:c r="G26" s="4" t="s">
        <x:v>354</x:v>
      </x:c>
      <x:c r="H26" s="4" t="s">
        <x:v>355</x:v>
      </x:c>
    </x:row>
    <x:row r="27" ht="46.650001525878906" customHeight="1">
      <x:c r="A27" s="1" t="s">
        <x:v>356</x:v>
      </x:c>
      <x:c r="B27" s="1" t="str">
        <x:v>Use Remittance for all international-transfer campaigns; these rows are highlighted automatically.</x:v>
      </x:c>
      <x:c r="D27" s="4" t="s">
        <x:v>357</x:v>
      </x:c>
      <x:c r="E27" s="4" t="s">
        <x:v>358</x:v>
      </x:c>
      <x:c r="F27" s="4" t="s">
        <x:v>359</x:v>
      </x:c>
      <x:c r="G27" s="4" t="s">
        <x:v>360</x:v>
      </x:c>
      <x:c r="H27" s="4" t="s">
        <x:v>361</x:v>
      </x:c>
    </x:row>
    <x:row r="28" ht="30.649999618530273" customHeight="1">
      <x:c r="A28" s="1" t="s">
        <x:v>362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363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364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365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366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