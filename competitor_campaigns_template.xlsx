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f835f9052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8bfa44e4a7c742be"/>
    <x:sheet xmlns:r="http://schemas.openxmlformats.org/officeDocument/2006/relationships" name="STC Bank" sheetId="2" r:id="R2e06e46aab874d7f"/>
    <x:sheet xmlns:r="http://schemas.openxmlformats.org/officeDocument/2006/relationships" name="barq" sheetId="3" r:id="Ra56fd28c908b435e"/>
    <x:sheet xmlns:r="http://schemas.openxmlformats.org/officeDocument/2006/relationships" name="Mobily Pay" sheetId="4" r:id="R94fc1ecd33504839"/>
    <x:sheet xmlns:r="http://schemas.openxmlformats.org/officeDocument/2006/relationships" name="tiqmo" sheetId="5" r:id="Rc405098af46c4d0d"/>
    <x:sheet xmlns:r="http://schemas.openxmlformats.org/officeDocument/2006/relationships" name="urpay" sheetId="6" r:id="R78cbdb297ae84077"/>
    <x:sheet xmlns:r="http://schemas.openxmlformats.org/officeDocument/2006/relationships" name="alinma pay" sheetId="7" r:id="Rf9268759951b465c"/>
    <x:sheet xmlns:r="http://schemas.openxmlformats.org/officeDocument/2006/relationships" name="Update Guide" sheetId="8" r:id="Rb7478ae8afe54542"/>
  </x:sheets>
</x:workbook>
</file>

<file path=xl/sharedStrings.xml><?xml version="1.0" encoding="utf-8"?>
<x:sst xmlns:x="http://schemas.openxmlformats.org/spreadsheetml/2006/main">
  <x:si>
    <x:t xml:space="preserve">STC Bank | barq | Mobily Pay | tiqmo | urpay | alinma pay</x:t>
  </x:si>
  <x:si>
    <x:t xml:space="preserve">Status Calculated As Of</x:t>
  </x:si>
  <x:si>
    <x:t xml:space="preserve">STC Bank – Verified Campaign Inventory</x:t>
  </x:si>
  <x:si>
    <x:t xml:space="preserve">Blue rows = Remittance priority | Gold rows = Merchant reference only | Published Social Platforms uses direct specific post links only</x:t>
  </x:si>
  <x:si>
    <x:t xml:space="preserve">Record ID</x:t>
  </x:si>
  <x:si>
    <x:t xml:space="preserve">Campaign Category</x:t>
  </x:si>
  <x:si>
    <x:t xml:space="preserve">Campaign Name</x:t>
  </x:si>
  <x:si>
    <x:t xml:space="preserve">Summary</x:t>
  </x:si>
  <x:si>
    <x:t xml:space="preserve">Published Date</x:t>
  </x:si>
  <x:si>
    <x:t xml:space="preserve">Start Date</x:t>
  </x:si>
  <x:si>
    <x:t xml:space="preserve">End Date</x:t>
  </x:si>
  <x:si>
    <x:t xml:space="preserve">Days Remaining</x:t>
  </x:si>
  <x:si>
    <x:t xml:space="preserve">Current Status</x:t>
  </x:si>
  <x:si>
    <x:t xml:space="preserve">Operation Type</x:t>
  </x:si>
  <x:si>
    <x:t xml:space="preserve">Mechanic / Offer</x:t>
  </x:si>
  <x:si>
    <x:t xml:space="preserve">Eligibility / Product</x:t>
  </x:si>
  <x:si>
    <x:t xml:space="preserve">Primary Official Source URL</x:t>
  </x:si>
  <x:si>
    <x:t xml:space="preserve">Official Campaign Page URL</x:t>
  </x:si>
  <x:si>
    <x:t xml:space="preserve">Instagram Post URL</x:t>
  </x:si>
  <x:si>
    <x:t xml:space="preserve">X Post URL</x:t>
  </x:si>
  <x:si>
    <x:t xml:space="preserve">Facebook Post URL</x:t>
  </x:si>
  <x:si>
    <x:t xml:space="preserve">TikTok Post URL</x:t>
  </x:si>
  <x:si>
    <x:t xml:space="preserve">Terms / Timing Note</x:t>
  </x:si>
  <x:si>
    <x:t xml:space="preserve">Card</x:t>
  </x:si>
  <x:si>
    <x:t xml:space="preserve">0% International Transaction Fees and Free Cash Withdrawals</x:t>
  </x:si>
  <x:si>
    <x:t xml:space="preserve">0% fees on eligible international POS transactions and free withdrawals from international ATMs.</x:t>
  </x:si>
  <x:si>
    <x:t xml:space="preserve">International POS purchases and international ATM withdrawals</x:t>
  </x:si>
  <x:si>
    <x:t xml:space="preserve">0% international transaction fees and free international ATM withdrawals</x:t>
  </x:si>
  <x:si>
    <x:t xml:space="preserve">STC Bank Visa Classic, Platinum, and Signature debit cards; credit cards excluded</x:t>
  </x:si>
  <x:si>
    <x:t xml:space="preserve">https://stcbank.com.sa/en/web/guest/w/international-purchases-with-0-fees</x:t>
  </x:si>
  <x:si>
    <x:t xml:space="preserve">https://www.instagram.com/reel/DbJS1RtM2Ed/</x:t>
  </x:si>
  <x:si>
    <x:t xml:space="preserve">https://x.com/stcbank_ksa/status/2080356315206176795</x:t>
  </x:si>
  <x:si>
    <x:t xml:space="preserve">https://www.facebook.com/share/v/18sMRBBuse/</x:t>
  </x:si>
  <x:si>
    <x:t xml:space="preserve">https://www.tiktok.com/@stcbank_ksa/video/7657549142540979477?is_from_webapp=1&amp;sender_device=pc&amp;web_id=7646835061455799828</x:t>
  </x:si>
  <x:si>
    <x:t xml:space="preserve">International Spending Travel Voucher Campaign</x:t>
  </x:si>
  <x:si>
    <x:t xml:space="preserve">The ten highest international spenders each week receive an Almatar travel voucher.</x:t>
  </x:si>
  <x:si>
    <x:t xml:space="preserve">International POS and e-commerce purchases</x:t>
  </x:si>
  <x:si>
    <x:t xml:space="preserve">100 travel vouchers worth SAR 10,000 each for weekly top spenders</x:t>
  </x:si>
  <x:si>
    <x:t xml:space="preserve">https://www.instagram.com/reel/DbJTohBs04q/</x:t>
  </x:si>
  <x:si>
    <x:t xml:space="preserve">https://x.com/stcbank_ksa/status/2071588243682832478</x:t>
  </x:si>
  <x:si>
    <x:t xml:space="preserve">https://www.facebook.com/share/v/1BoJpH5Xnd/</x:t>
  </x:si>
  <x:si>
    <x:t xml:space="preserve">Visa Card Rewards: iPhone 17 Pro and Apple Watch</x:t>
  </x:si>
  <x:si>
    <x:t xml:space="preserve">Monthly iPhone rewards for top spenders and weekly Apple Watch rewards for qualifying purchases.</x:t>
  </x:si>
  <x:si>
    <x:t xml:space="preserve">Domestic and international POS and e-commerce purchases</x:t>
  </x:si>
  <x:si>
    <x:t xml:space="preserve">12 iPhone 17 Pro devices and 144 Apple Watches</x:t>
  </x:si>
  <x:si>
    <x:t xml:space="preserve">https://stcbank.com.sa/en/web/guest/w/visa_cards_rewards</x:t>
  </x:si>
  <x:si>
    <x:t xml:space="preserve">STC Bank Credit Card Launch</x:t>
  </x:si>
  <x:si>
    <x:t xml:space="preserve">Credit cards promoted with flexible cashback of up to 10% on selected categories and 1% on other purchases.</x:t>
  </x:si>
  <x:si>
    <x:t xml:space="preserve">Credit-card purchases</x:t>
  </x:si>
  <x:si>
    <x:t xml:space="preserve">Flexible category cashback of up to 10%</x:t>
  </x:si>
  <x:si>
    <x:t xml:space="preserve">STC Bank credit-card customers</x:t>
  </x:si>
  <x:si>
    <x:t xml:space="preserve">https://www.instagram.com/reel/DWots29j8fx/?hl=en</x:t>
  </x:si>
  <x:si>
    <x:t xml:space="preserve">https://x.com/stcbank_ksa/status/2071639841348124772</x:t>
  </x:si>
  <x:si>
    <x:t xml:space="preserve">https://www.facebook.com/share/v/1CqU3VtD85/</x:t>
  </x:si>
  <x:si>
    <x:t xml:space="preserve">Campaign end date is not stated in the official post. Social verification: Direct official launch/benefit posts verified on Instagram, X, and Facebook. The posts explicitly mention the Platinum credit card, first-year fee waiver, 0% international transaction fees, and cashback benefits. No specific direct TikTok post URL was verified.</x:t>
  </x:si>
  <x:si>
    <x:t xml:space="preserve">Merchant</x:t>
  </x:si>
  <x:si>
    <x:t xml:space="preserve">Almatar: Up to 10% Off</x:t>
  </x:si>
  <x:si>
    <x:t xml:space="preserve">Discounts on hotel and flight bookings through Almatar.</x:t>
  </x:si>
  <x:si>
    <x:t xml:space="preserve">Flight and hotel bookings</x:t>
  </x:si>
  <x:si>
    <x:t xml:space="preserve">10% off hotels with STCB10 and 5% off flights with STCB5</x:t>
  </x:si>
  <x:si>
    <x:t xml:space="preserve">All STC Bank cards</x:t>
  </x:si>
  <x:si>
    <x:t xml:space="preserve">https://stcbank.com.sa/en/web/guest/w/almatar-offer</x:t>
  </x:si>
  <x:si>
    <x:t xml:space="preserve">Whites: Up to 15% Off</x:t>
  </x:si>
  <x:si>
    <x:t xml:space="preserve">15% off online purchases and 10% off in stores.</x:t>
  </x:si>
  <x:si>
    <x:t xml:space="preserve">Beauty and healthcare retail</x:t>
  </x:si>
  <x:si>
    <x:t xml:space="preserve">15% online and 10% in stores; minimum spend SAR 200; maximum discount SAR 100</x:t>
  </x:si>
  <x:si>
    <x:t xml:space="preserve">STC Bank cards</x:t>
  </x:si>
  <x:si>
    <x:t xml:space="preserve">https://stcbank.com.sa/en/web/guest/w/whites-offer</x:t>
  </x:si>
  <x:si>
    <x:t xml:space="preserve">Huawei Device and Accessory Offers</x:t>
  </x:si>
  <x:si>
    <x:t xml:space="preserve">Special prices and selected gifts on eligible Huawei devices and accessories.</x:t>
  </x:si>
  <x:si>
    <x:t xml:space="preserve">Electronics purchases</x:t>
  </x:si>
  <x:si>
    <x:t xml:space="preserve">Special prices and gifts on selected devices</x:t>
  </x:si>
  <x:si>
    <x:t xml:space="preserve">https://stcbank.com.sa/en/web/guest/w/huawei</x:t>
  </x:si>
  <x:si>
    <x:t xml:space="preserve">Loca Beauty: 15% Off</x:t>
  </x:si>
  <x:si>
    <x:t xml:space="preserve">15% off online purchases using promo code STCB15.</x:t>
  </x:si>
  <x:si>
    <x:t xml:space="preserve">Online beauty purchases</x:t>
  </x:si>
  <x:si>
    <x:t xml:space="preserve">15% discount using code STCB15</x:t>
  </x:si>
  <x:si>
    <x:t xml:space="preserve">STC Bank Visa Classic, Platinum, and Signature cards</x:t>
  </x:si>
  <x:si>
    <x:t xml:space="preserve">https://stcbank.com.sa/en/web/guest/w/loca</x:t>
  </x:si>
  <x:si>
    <x:t xml:space="preserve">Canton: 15% Off</x:t>
  </x:si>
  <x:si>
    <x:t xml:space="preserve">15% off eligible online purchases using promo code STCB15.</x:t>
  </x:si>
  <x:si>
    <x:t xml:space="preserve">E-commerce purchases</x:t>
  </x:si>
  <x:si>
    <x:t xml:space="preserve">https://stcbank.com.sa/en/web/guest/w/canton-offer</x:t>
  </x:si>
  <x:si>
    <x:t xml:space="preserve">Dr. Nutrition: Up to 10% Off</x:t>
  </x:si>
  <x:si>
    <x:t xml:space="preserve">5% to 10% discounts on selected health and nutrition categories.</x:t>
  </x:si>
  <x:si>
    <x:t xml:space="preserve">Health and nutrition purchases</x:t>
  </x:si>
  <x:si>
    <x:t xml:space="preserve">5% to 10% discount using code STCB</x:t>
  </x:si>
  <x:si>
    <x:t xml:space="preserve">https://stcbank.com.sa/en/web/guest/w/boost-your-health</x:t>
  </x:si>
  <x:si>
    <x:t xml:space="preserve">GO Sport: 10% Off</x:t>
  </x:si>
  <x:si>
    <x:t xml:space="preserve">10% off eligible online purchases using promo code STCB.</x:t>
  </x:si>
  <x:si>
    <x:t xml:space="preserve">Sports retail purchases</x:t>
  </x:si>
  <x:si>
    <x:t xml:space="preserve">10% discount using code STCB</x:t>
  </x:si>
  <x:si>
    <x:t xml:space="preserve">https://stcbank.com.sa/en/web/guest/w/shop-workout-and-save-with-10-off-on-gosport</x:t>
  </x:si>
  <x:si>
    <x:t xml:space="preserve">iHerb: Up to 25% Off</x:t>
  </x:si>
  <x:si>
    <x:t xml:space="preserve">Visa discounts for new and existing iHerb customers.</x:t>
  </x:si>
  <x:si>
    <x:t xml:space="preserve">Health and wellness e-commerce purchases</x:t>
  </x:si>
  <x:si>
    <x:t xml:space="preserve">Up to 25% off for new customers and 10% for existing customers</x:t>
  </x:si>
  <x:si>
    <x:t xml:space="preserve">Eligible STC Bank Visa cards</x:t>
  </x:si>
  <x:si>
    <x:t xml:space="preserve">https://stcbank.com.sa/en/web/guest/w/iherb-offer</x:t>
  </x:si>
  <x:si>
    <x:t xml:space="preserve">Abdullah Al Othaim Entertainment</x:t>
  </x:si>
  <x:si>
    <x:t xml:space="preserve">Bonus credit and discounts across selected family-entertainment destinations.</x:t>
  </x:si>
  <x:si>
    <x:t xml:space="preserve">Family entertainment</x:t>
  </x:si>
  <x:si>
    <x:t xml:space="preserve">Bonus credit and discounts ranging from 20% to 30%</x:t>
  </x:si>
  <x:si>
    <x:t xml:space="preserve">https://stcbank.com.sa/en/web/guest/w/alothaim-entertainment</x:t>
  </x:si>
  <x:si>
    <x:t xml:space="preserve">Yelo: 10% Off</x:t>
  </x:si>
  <x:si>
    <x:t xml:space="preserve">10% off eligible bookings through the Yelo website and app.</x:t>
  </x:si>
  <x:si>
    <x:t xml:space="preserve">Car rental</x:t>
  </x:si>
  <x:si>
    <x:t xml:space="preserve">10% discount using code STCB1</x:t>
  </x:si>
  <x:si>
    <x:t xml:space="preserve">STC Bank mada and credit cards</x:t>
  </x:si>
  <x:si>
    <x:t xml:space="preserve">https://stcbank.com.sa/en/web/guest/w/yelo</x:t>
  </x:si>
  <x:si>
    <x:t xml:space="preserve">Engagement</x:t>
  </x:si>
  <x:si>
    <x:t xml:space="preserve">STC Bank Championship</x:t>
  </x:si>
  <x:si>
    <x:t xml:space="preserve">Daily football quiz campaign with prizes for leading participants.</x:t>
  </x:si>
  <x:si>
    <x:t xml:space="preserve">In-app engagement</x:t>
  </x:si>
  <x:si>
    <x:t xml:space="preserve">Daily leaderboard and prizes</x:t>
  </x:si>
  <x:si>
    <x:t xml:space="preserve">STC Bank app customers</x:t>
  </x:si>
  <x:si>
    <x:t xml:space="preserve">https://stcbank.com.sa/en/web/guest/w/stcbank-championship</x:t>
  </x:si>
  <x:si>
    <x:t xml:space="preserve">https://www.instagram.com/reel/DZdT9oVs4pw/?hl=en</x:t>
  </x:si>
  <x:si>
    <x:t xml:space="preserve">https://x.com/stcbank_ksa/status/2065159633942274387</x:t>
  </x:si>
  <x:si>
    <x:t xml:space="preserve">https://www.facebook.com/share/v/1EMLYL7XMs/</x:t>
  </x:si>
  <x:si>
    <x:t xml:space="preserve">https://www.tiktok.com/@stcbank_ksa/video/7650240341047725333?is_from_webapp=1&amp;sender_device=pc&amp;web_id=7646835061455799828</x:t>
  </x:si>
  <x:si>
    <x:t xml:space="preserve">Included as a recent expired campaign for competitive context. Social verification: Direct official posts verified on Instagram, X, and Facebook. Indexed captions/OCR explicitly mention STC Bank Championship, football questions, 50 daily winners, and the tournament period. No specific direct TikTok post URL was verified.</x:t>
  </x:si>
  <x:si>
    <x:t xml:space="preserve">barq – Verified Campaign Inventory</x:t>
  </x:si>
  <x:si>
    <x:t xml:space="preserve">barq Marathon</x:t>
  </x:si>
  <x:si>
    <x:t xml:space="preserve">Transaction-based points and competition with a large prize pool and winner base.</x:t>
  </x:si>
  <x:si>
    <x:t xml:space="preserve">Card usage and in-app engagement</x:t>
  </x:si>
  <x:si>
    <x:t xml:space="preserve">Prize pool increased to SAR 500,000 and 20,000 winners</x:t>
  </x:si>
  <x:si>
    <x:t xml:space="preserve">barq Visa customers</x:t>
  </x:si>
  <x:si>
    <x:t xml:space="preserve">https://www.instagram.com/reel/DYxvJOWiZY5/</x:t>
  </x:si>
  <x:si>
    <x:t xml:space="preserve">https://www.facebook.com/share/p/1BbFALsFYP/</x:t>
  </x:si>
  <x:si>
    <x:t xml:space="preserve">Campaign end date is not stated in the official post.</x:t>
  </x:si>
  <x:si>
    <x:t xml:space="preserve">Prediction Game</x:t>
  </x:si>
  <x:si>
    <x:t xml:space="preserve">In-app match prediction game with a prize pool of up to SAR 500,000.</x:t>
  </x:si>
  <x:si>
    <x:t xml:space="preserve">In-app sports engagement</x:t>
  </x:si>
  <x:si>
    <x:t xml:space="preserve">Prediction game with prizes worth up to SAR 500,000</x:t>
  </x:si>
  <x:si>
    <x:t xml:space="preserve">barq app customers</x:t>
  </x:si>
  <x:si>
    <x:t xml:space="preserve">https://www.facebook.com/usebarq/posts/update-your-barq-app-and-join-the-prediction-game-win-your-share-of-prizes-worth/122197690844385166/</x:t>
  </x:si>
  <x:si>
    <x:t xml:space="preserve">Almatar Travel Offer</x:t>
  </x:si>
  <x:si>
    <x:t xml:space="preserve">Discounts on international flights and hotels when paying with barq Visa.</x:t>
  </x:si>
  <x:si>
    <x:t xml:space="preserve">Up to 10% off international flights and 25% off hotels</x:t>
  </x:si>
  <x:si>
    <x:t xml:space="preserve">https://www.facebook.com/usebarq/posts/planning-a-trip-%EF%B8%8Fbook-through-almatarapp-with-your-barq-visa-and-get-up-to-10-of/122178668528385166/</x:t>
  </x:si>
  <x:si>
    <x:t xml:space="preserve">Remittance</x:t>
  </x:si>
  <x:si>
    <x:t xml:space="preserve">Zero-Fee International Transfers</x:t>
  </x:si>
  <x:si>
    <x:t xml:space="preserve">Fee-free international transfers to selected destinations and payout channels.</x:t>
  </x:si>
  <x:si>
    <x:t xml:space="preserve">International transfers</x:t>
  </x:si>
  <x:si>
    <x:t xml:space="preserve">Zero transfer fees on eligible transfers</x:t>
  </x:si>
  <x:si>
    <x:t xml:space="preserve">barq customers; destination and payout-channel terms apply</x:t>
  </x:si>
  <x:si>
    <x:t xml:space="preserve">https://www.instagram.com/p/Dazzjtdt1Jt/?utm_source=ig_web_button_share_sheet&amp;igsh=MzRlODBiNWFlZA==</x:t>
  </x:si>
  <x:si>
    <x:t xml:space="preserve">Zero Travel Fees with barq Visa</x:t>
  </x:si>
  <x:si>
    <x:t xml:space="preserve">Use your barq card while travelling and barq covers the applicable travel fees.</x:t>
  </x:si>
  <x:si>
    <x:t xml:space="preserve">International card spending / Travel card usage
Mechanic / Offer: Travel-related card fees covered by barq
Eligibility / Product: barq cardholders</x:t>
  </x:si>
  <x:si>
    <x:t xml:space="preserve">https://www.instagram.com/p/DbAtiuQNGlf/</x:t>
  </x:si>
  <x:si>
    <x:t xml:space="preserve">https://x.com/barq/status/2078084305327206575</x:t>
  </x:si>
  <x:si>
    <x:t xml:space="preserve">https://www.tiktok.com/@barq/video/7666817781014252821?is_from_webapp=1&amp;sender_device=pc&amp;web_id=7646835061455799828</x:t>
  </x:si>
  <x:si>
    <x:t xml:space="preserve">FX Rate Awareness Campaign</x:t>
  </x:si>
  <x:si>
    <x:t xml:space="preserve">International transfers / FX rate awareness</x:t>
  </x:si>
  <x:si>
    <x:t xml:space="preserve">All barq customers using international transfers</x:t>
  </x:si>
  <x:si>
    <x:t xml:space="preserve">Educational campaign explaining exchange rates and how they affect the received amount in international transfers.</x:t>
  </x:si>
  <x:si>
    <x:t xml:space="preserve">https://www.instagram.com/reel/DaaydiADUvg/?utm_source=ig_web_button_share_sheet&amp;igsh=MzRlODBiNWFlZA==</x:t>
  </x:si>
  <x:si>
    <x:t xml:space="preserve">Mobily Pay – Verified Campaign Inventory</x:t>
  </x:si>
  <x:si>
    <x:t xml:space="preserve">https://www.instagram.com/p/DaVcH86Euq7/</x:t>
  </x:si>
  <x:si>
    <x:t xml:space="preserve">https://x.com/MobilyPay/status/2066845533692707064</x:t>
  </x:si>
  <x:si>
    <x:t xml:space="preserve">https://www.facebook.com/share/p/14qaPGWCJRZ/</x:t>
  </x:si>
  <x:si>
    <x:t xml:space="preserve">https://www.instagram.com/reel/DZuhOEDFRNn/</x:t>
  </x:si>
  <x:si>
    <x:t xml:space="preserve">https://www.facebook.com/mobilypay/videos/transfer-now/829680072943900/</x:t>
  </x:si>
  <x:si>
    <x:t xml:space="preserve">Weekly International Transfer Prizes – Up to SAR 20,000</x:t>
  </x:si>
  <x:si>
    <x:t xml:space="preserve">International transfers generate entries for weekly prizes of up to SAR 20,000.</x:t>
  </x:si>
  <x:si>
    <x:t xml:space="preserve">Weekly prizes up to SAR 20,000; no minimum transfer stated in the post</x:t>
  </x:si>
  <x:si>
    <x:t xml:space="preserve">Mobily Pay international-transfer customers</x:t>
  </x:si>
  <x:si>
    <x:t xml:space="preserve">https://www.facebook.com/mobilypay/videos/sar-20000-is-waiting-for-you-make-an-international-transfer-with-mobilypay-and-i/4300117560266135/</x:t>
  </x:si>
  <x:si>
    <x:t xml:space="preserve">Campaign end date is not stated in the official video.</x:t>
  </x:si>
  <x:si>
    <x:t xml:space="preserve">Alpha Medical Laboratories: 50% Off</x:t>
  </x:si>
  <x:si>
    <x:t xml:space="preserve">50% off individual laboratory tests.</x:t>
  </x:si>
  <x:si>
    <x:t xml:space="preserve">Healthcare and laboratory services</x:t>
  </x:si>
  <x:si>
    <x:t xml:space="preserve">50% discount on individual laboratory tests</x:t>
  </x:si>
  <x:si>
    <x:t xml:space="preserve">Mobily Pay Platinum and Signature cards</x:t>
  </x:si>
  <x:si>
    <x:t xml:space="preserve">https://mobilypay.sa/offer-details.html?id=offer-6</x:t>
  </x:si>
  <x:si>
    <x:t xml:space="preserve">Offer applies to individual tests under the official terms.</x:t>
  </x:si>
  <x:si>
    <x:t xml:space="preserve">Summer Card Offers – Fees on Us &amp; Up to 2% Cashback</x:t>
  </x:si>
  <x:si>
    <x:t xml:space="preserve">Summer campaign offering 0% fees on eligible international card transactions, cashback of up to 2%, and free issuance of the physical Mobily Pay card.</x:t>
  </x:si>
  <x:si>
    <x:t xml:space="preserve">Mobily Pay cardholders; eligible card types and transactions are subject to the official terms and conditions.</x:t>
  </x:si>
  <x:si>
    <x:t xml:space="preserve">0% fees on eligible international card transactions, cashback up to 2%, and free physical card issuance.</x:t>
  </x:si>
  <x:si>
    <x:t xml:space="preserve">https://mobilypay.sa/offer-details.html?id=offer-53</x:t>
  </x:si>
  <x:si>
    <x:t xml:space="preserve">https://x.com/MobilyPay/status/2080699530656510080</x:t>
  </x:si>
  <x:si>
    <x:t xml:space="preserve">https://www.facebook.com/mobilypay/posts/1481106724035443/</x:t>
  </x:si>
  <x:si>
    <x:t xml:space="preserve">https://www.tiktok.com/@mobilypay/video/7666785860884434183?is_from_webapp=1&amp;sender_device=pc&amp;web_id=7646835061455799828</x:t>
  </x:si>
  <x:si>
    <x:t xml:space="preserve">Other</x:t>
  </x:si>
  <x:si>
    <x:t xml:space="preserve">30% Bonus Alfursan Miles</x:t>
  </x:si>
  <x:si>
    <x:t xml:space="preserve">Convert eligible Mobily Pay Xp+ points into Alfursan Miles and receive 30% additional bonus miles.</x:t>
  </x:si>
  <x:si>
    <x:t xml:space="preserve">Loyalty points conversion / Alfursan Miles</x:t>
  </x:si>
  <x:si>
    <x:t xml:space="preserve">30% bonus Alfursan Miles when converting eligible Mobily Pay Xp+ points into Alfursan Miles.</x:t>
  </x:si>
  <x:si>
    <x:t xml:space="preserve">Mobily Pay customers with eligible Xp+ points and an active Alfursan membership.</x:t>
  </x:si>
  <x:si>
    <x:t xml:space="preserve">https://mobilypay.sa/offer-details.html?id=offer-54</x:t>
  </x:si>
  <x:si>
    <x:t xml:space="preserve">https://www.instagram.com/p/DbDoZvgjlV9/</x:t>
  </x:si>
  <x:si>
    <x:t xml:space="preserve">https://x.com/MobilyPay/status/2080986707143413921</x:t>
  </x:si>
  <x:si>
    <x:t xml:space="preserve">https://www.facebook.com/mobilypay/posts/1478454067634042/</x:t>
  </x:si>
  <x:si>
    <x:t xml:space="preserve">tiqmo – Verified Campaign Inventory</x:t>
  </x:si>
  <x:si>
    <x:t xml:space="preserve">SADAD</x:t>
  </x:si>
  <x:si>
    <x:t xml:space="preserve">SADAD Daily Cashback</x:t>
  </x:si>
  <x:si>
    <x:t xml:space="preserve">Pay a SADAD bill for a daily chance to win SAR 1,000 cashback.</x:t>
  </x:si>
  <x:si>
    <x:t xml:space="preserve">SADAD bill payments</x:t>
  </x:si>
  <x:si>
    <x:t xml:space="preserve">Daily draw for SAR 1,000 cashback</x:t>
  </x:si>
  <x:si>
    <x:t xml:space="preserve">tiqmo customers using SADAD</x:t>
  </x:si>
  <x:si>
    <x:t xml:space="preserve">https://www.instagram.com/tiqmoksa/p/DbLZ9Yfj6dy/</x:t>
  </x:si>
  <x:si>
    <x:t xml:space="preserve">https://x.com/tiqmo/status/2080654590756978954</x:t>
  </x:si>
  <x:si>
    <x:t xml:space="preserve">https://www.facebook.com/Tiqmoksa/videos/sar-1000-cashback-every-daypay-your-bills-through-sadad-tiqmo-and-enter-the-dail/28285312344409396/</x:t>
  </x:si>
  <x:si>
    <x:t xml:space="preserve">Unlimited 5% Off Game Vouchers</x:t>
  </x:si>
  <x:si>
    <x:t xml:space="preserve">Unlimited 5% discount on eligible gaming vouchers.</x:t>
  </x:si>
  <x:si>
    <x:t xml:space="preserve">Gaming-voucher purchases</x:t>
  </x:si>
  <x:si>
    <x:t xml:space="preserve">Unlimited 5% discount</x:t>
  </x:si>
  <x:si>
    <x:t xml:space="preserve">Eligible tiqmo card purchases</x:t>
  </x:si>
  <x:si>
    <x:t xml:space="preserve">https://www.instagram.com/tiqmoksa/p/DbJJsK0IEPD/</x:t>
  </x:si>
  <x:si>
    <x:t xml:space="preserve">100% Cashback on International Transfers – May Edition</x:t>
  </x:si>
  <x:si>
    <x:t xml:space="preserve">International transfers entered a daily draw for a chance to receive the full transfer amount back.</x:t>
  </x:si>
  <x:si>
    <x:t xml:space="preserve">100% cashback on the transfer amount; 10 daily winners; no minimum stated</x:t>
  </x:si>
  <x:si>
    <x:t xml:space="preserve">tiqmo international-transfer customers</x:t>
  </x:si>
  <x:si>
    <x:t xml:space="preserve">https://www.instagram.com/p/DXR2gtKkiRW/</x:t>
  </x:si>
  <x:si>
    <x:t xml:space="preserve">https://x.com/tiqmo/status/2069088275881677303</x:t>
  </x:si>
  <x:si>
    <x:t xml:space="preserve">https://www.facebook.com/Tiqmoksa/posts/tiqmo-is-everywhereenjoy-100-cashback-on-international-transfers-with-10-daily-w/943640441763288/
https://www.facebook.com/Tiqmoksa/photos/congrats-may-11-100-cashback-winners-are-herehttpstiqmogolinkjxfro/966768766117122/</x:t>
  </x:si>
  <x:si>
    <x:t xml:space="preserve">Monthly International Transfer Streak Cashback</x:t>
  </x:si>
  <x:si>
    <x:t xml:space="preserve">Transfer SAR 1,500 or more internationally each month to receive increasing monthly cashback while maintaining the monthly streak.</x:t>
  </x:si>
  <x:si>
    <x:t xml:space="preserve">SAR 1,500+ monthly transfer threshold, increasing monthly cashback, and zero transfer fees</x:t>
  </x:si>
  <x:si>
    <x:t xml:space="preserve">tiqmo customers making qualifying monthly international transfers</x:t>
  </x:si>
  <x:si>
    <x:t xml:space="preserve">https://www.instagram.com/p/DbBUcjiIHS1/</x:t>
  </x:si>
  <x:si>
    <x:t xml:space="preserve">https://x.com/tiqmo/status/2079235327240368574</x:t>
  </x:si>
  <x:si>
    <x:t xml:space="preserve">https://www.facebook.com/Tiqmoksa/posts/your-monthly-cashback-is-heretransfer-internationally-sar-1500-or-more-every-mon/1027166950077303/</x:t>
  </x:si>
  <x:si>
    <x:t xml:space="preserve">Current official posts continue to promote Monthly Streak Rewards. The official post does not state a campaign end date.</x:t>
  </x:si>
  <x:si>
    <x:t xml:space="preserve">https://www.instagram.com/p/DbQxYrrjfrH/</x:t>
  </x:si>
  <x:si>
    <x:t xml:space="preserve">https://x.com/tiqmo/status/2081409451844870239</x:t>
  </x:si>
  <x:si>
    <x:t xml:space="preserve">https://www.facebook.com/Tiqmoksa/videos/1605667747644721/</x:t>
  </x:si>
  <x:si>
    <x:t xml:space="preserve">https://www.tiktok.com/@tiqmoksa/video/7666867037418867985</x:t>
  </x:si>
  <x:si>
    <x:t xml:space="preserve">urpay – Verified Campaign Inventory</x:t>
  </x:si>
  <x:si>
    <x:t xml:space="preserve">Visa Platinum Cashback Game</x:t>
  </x:si>
  <x:si>
    <x:t xml:space="preserve">Eligible Visa purchases generate in-app game chances, with cashback up to 100% of the transaction amount.</x:t>
  </x:si>
  <x:si>
    <x:t xml:space="preserve">Visa card purchases</x:t>
  </x:si>
  <x:si>
    <x:t xml:space="preserve">Up to 100% cashback; international POS transactions provide two game chances; rewards can reach SAR 100,000</x:t>
  </x:si>
  <x:si>
    <x:t xml:space="preserve">urpay Visa Platinum customers</x:t>
  </x:si>
  <x:si>
    <x:t xml:space="preserve">https://www.urpay.com.sa/en/cashback-system</x:t>
  </x:si>
  <x:si>
    <x:t xml:space="preserve">https://x.com/urpay_sa/status/2079219785200554454</x:t>
  </x:si>
  <x:si>
    <x:t xml:space="preserve">https://www.facebook.com/urpay.sa/videos/every-transaction-you-make-with-your-urpay-platinum-visa-card-comes-with-a-game-/2276237546140896/</x:t>
  </x:si>
  <x:si>
    <x:t xml:space="preserve">Game chances must be used within 24 hours. A monthly rewards game unlocks after SAR 1,500 cumulative spend.</x:t>
  </x:si>
  <x:si>
    <x:t xml:space="preserve">ALHABIB Bedding: 5% Off</x:t>
  </x:si>
  <x:si>
    <x:t xml:space="preserve">5% off eligible products using promo code urpay.</x:t>
  </x:si>
  <x:si>
    <x:t xml:space="preserve">Home retail purchases</x:t>
  </x:si>
  <x:si>
    <x:t xml:space="preserve">5% discount using code urpay</x:t>
  </x:si>
  <x:si>
    <x:t xml:space="preserve">All urpay cards</x:t>
  </x:si>
  <x:si>
    <x:t xml:space="preserve">https://www.urpay.com.sa/en/urpay-offers/alhabibbedding</x:t>
  </x:si>
  <x:si>
    <x:t xml:space="preserve">Can be used more than once and cannot be combined with other promotions.</x:t>
  </x:si>
  <x:si>
    <x:t xml:space="preserve">SQUATWOLF: Up to 10% Off</x:t>
  </x:si>
  <x:si>
    <x:t xml:space="preserve">Up to 10% off selected products using promo code R29.</x:t>
  </x:si>
  <x:si>
    <x:t xml:space="preserve">Sportswear e-commerce purchases</x:t>
  </x:si>
  <x:si>
    <x:t xml:space="preserve">Up to 10% discount using code R29</x:t>
  </x:si>
  <x:si>
    <x:t xml:space="preserve">urpay cards only</x:t>
  </x:si>
  <x:si>
    <x:t xml:space="preserve">https://www.urpay.com.sa/en/urpay-offers/squatwolf</x:t>
  </x:si>
  <x:si>
    <x:t xml:space="preserve">Digital-wallet payments are excluded; selected products only.</x:t>
  </x:si>
  <x:si>
    <x:t xml:space="preserve">MAGRABi: Up to 10% Off</x:t>
  </x:si>
  <x:si>
    <x:t xml:space="preserve">Up to 10% off eligible purchases using promo code URPAY.</x:t>
  </x:si>
  <x:si>
    <x:t xml:space="preserve">Optical retail purchases</x:t>
  </x:si>
  <x:si>
    <x:t xml:space="preserve">Up to 10% discount using code URPAY</x:t>
  </x:si>
  <x:si>
    <x:t xml:space="preserve">https://www.urpay.com.sa/en/urpay-offers/mag</x:t>
  </x:si>
  <x:si>
    <x:t xml:space="preserve">Cartier products are excluded. The offer may be used more than once.</x:t>
  </x:si>
  <x:si>
    <x:t xml:space="preserve">Bath &amp; Body Works: Up to 5% Off</x:t>
  </x:si>
  <x:si>
    <x:t xml:space="preserve">Up to 5% off eligible purchases using promo code VN1N.</x:t>
  </x:si>
  <x:si>
    <x:t xml:space="preserve">Beauty and personal-care purchases</x:t>
  </x:si>
  <x:si>
    <x:t xml:space="preserve">Up to 5% discount using code VN1N</x:t>
  </x:si>
  <x:si>
    <x:t xml:space="preserve">https://www.urpay.com.sa/en/urpay-offers/b-bw</x:t>
  </x:si>
  <x:si>
    <x:t xml:space="preserve">May be used more than once and cannot be combined with other promotions.</x:t>
  </x:si>
  <x:si>
    <x:t xml:space="preserve">Alnahdi Pharmacy: 5% Off</x:t>
  </x:si>
  <x:si>
    <x:t xml:space="preserve">5% off eligible full-price products, capped at SAR 25.</x:t>
  </x:si>
  <x:si>
    <x:t xml:space="preserve">Pharmacy e-commerce purchases</x:t>
  </x:si>
  <x:si>
    <x:t xml:space="preserve">5% discount capped at SAR 25 using code URPAY</x:t>
  </x:si>
  <x:si>
    <x:t xml:space="preserve">https://www.urpay.com.sa/en/urpay-offers/nadi-ph</x:t>
  </x:si>
  <x:si>
    <x:t xml:space="preserve">Valid on most full-price products on the Alnahdi app or website.</x:t>
  </x:si>
  <x:si>
    <x:t xml:space="preserve">iHerb Visa Offer</x:t>
  </x:si>
  <x:si>
    <x:t xml:space="preserve">Discounts for new and existing iHerb customers.</x:t>
  </x:si>
  <x:si>
    <x:t xml:space="preserve">25% off for new customers and 10% for existing customers</x:t>
  </x:si>
  <x:si>
    <x:t xml:space="preserve">Visa cardholders</x:t>
  </x:si>
  <x:si>
    <x:t xml:space="preserve">https://www.urpay.com.sa/en/urpay-offers/iherb</x:t>
  </x:si>
  <x:si>
    <x:t xml:space="preserve">Expired on 30 June 2026; retained for recent competitive context.</x:t>
  </x:si>
  <x:si>
    <x:t xml:space="preserve">Musaned</x:t>
  </x:si>
  <x:si>
    <x:t xml:space="preserve">Musaned Domestic Worker Salary Travel Ticket Draw</x:t>
  </x:si>
  <x:si>
    <x:t xml:space="preserve">Transfer a domestic worker's salary through Musaned in urpay and enter a draw to win a travel ticket for the worker to their home country.</x:t>
  </x:si>
  <x:si>
    <x:t xml:space="preserve">Domestic worker salary transfer through Musaned</x:t>
  </x:si>
  <x:si>
    <x:t xml:space="preserve">Salary transfer generates an entry into a travel-ticket prize draw</x:t>
  </x:si>
  <x:si>
    <x:t xml:space="preserve">urpay customers using the Musaned domestic-worker salary service</x:t>
  </x:si>
  <x:si>
    <x:t xml:space="preserve">https://x.com/urpay_sa/status/2074433249682845889</x:t>
  </x:si>
  <x:si>
    <x:t xml:space="preserve">The official post does not state a campaign end date.</x:t>
  </x:si>
  <x:si>
    <x:t xml:space="preserve">alinma pay – Verified Campaign Inventory</x:t>
  </x:si>
  <x:si>
    <x:t xml:space="preserve">Visa Signature: 2% Cashback</x:t>
  </x:si>
  <x:si>
    <x:t xml:space="preserve">2% cashback on restaurants, supermarkets, grocery stores, and fuel, capped at SAR 300.</x:t>
  </x:si>
  <x:si>
    <x:t xml:space="preserve">Everyday Visa Signature purchases</x:t>
  </x:si>
  <x:si>
    <x:t xml:space="preserve">2% cashback capped at SAR 300</x:t>
  </x:si>
  <x:si>
    <x:t xml:space="preserve">alinma pay Visa Signature card</x:t>
  </x:si>
  <x:si>
    <x:t xml:space="preserve">https://www.instagram.com/alinmapay/p/CC4JUxohSuN/</x:t>
  </x:si>
  <x:si>
    <x:t xml:space="preserve">https://x.com/alinmapay/status/2074871700508832252</x:t>
  </x:si>
  <x:si>
    <x:t xml:space="preserve">https://www.facebook.com/AlinmaPaySA/posts/weve-extended-the-offer-and-increased-the-limit-enjoy-up-to-2-cashback-with-the-/1632962732164891/</x:t>
  </x:si>
  <x:si>
    <x:t xml:space="preserve">Eligible merchant categories include restaurants, supermarkets, grocery stores, and fuel. Social verification: The official X post explicitly states the extended 2% cashback offer and the SAR 300 cap.</x:t>
  </x:si>
  <x:si>
    <x:t xml:space="preserve">Zero International Transaction Fees on Cashback Cards</x:t>
  </x:si>
  <x:si>
    <x:t xml:space="preserve">alinma pay Cashback Cards</x:t>
  </x:si>
  <x:si>
    <x:t xml:space="preserve">https://www.facebook.com/AlinmaPaySA/posts/%EF%B8%8F-fees-gonetravel-anywhere-and-use-your-alinmapay-cashback-cards-without-worryin/1619335260194305/</x:t>
  </x:si>
  <x:si>
    <x:t xml:space="preserve">International Transfers for SAR 5</x:t>
  </x:si>
  <x:si>
    <x:t xml:space="preserve">Flat SAR 5 transfer fee to multiple international corridors.</x:t>
  </x:si>
  <x:si>
    <x:t xml:space="preserve">International transfers through alinma pay Direct</x:t>
  </x:si>
  <x:si>
    <x:t xml:space="preserve">Flat SAR 5 transfer fee</x:t>
  </x:si>
  <x:si>
    <x:t xml:space="preserve">Transfers to listed destinations including the Philippines, Egypt, Bangladesh, Sri Lanka, Indonesia, Nepal, Jordan, and Morocco</x:t>
  </x:si>
  <x:si>
    <x:t xml:space="preserve">https://www.instagram.com/alinmapay/p/CC_U-JDB6yh/</x:t>
  </x:si>
  <x:si>
    <x:t xml:space="preserve">https://x.com/alinmapay/status/1978784486424035774</x:t>
  </x:si>
  <x:si>
    <x:t xml:space="preserve">https://www.facebook.com/AlinmaPaySA/posts/lower-fees-easier-transfers-send-money-to-india-and-bangladesh-through-alinmapay/1606878421439989/</x:t>
  </x:si>
  <x:si>
    <x:t xml:space="preserve">Campaign end date is not stated in the official post. Social verification: Official Instagram and X posts explicitly promote international transfers for a SAR 5 fee. The Instagram creative is a corridor-specific execution within the same offer.</x:t>
  </x:si>
  <x:si>
    <x:t xml:space="preserve">Zero-Fee Transfers to India from SAR 700</x:t>
  </x:si>
  <x:si>
    <x:t xml:space="preserve">Transfers of SAR 700 or more to Indian bank accounts are promoted with zero transfer fees.</x:t>
  </x:si>
  <x:si>
    <x:t xml:space="preserve">International transfers to India</x:t>
  </x:si>
  <x:si>
    <x:t xml:space="preserve">Zero transfer fee for transfers of SAR 700 or more</x:t>
  </x:si>
  <x:si>
    <x:t xml:space="preserve">alinma pay Direct customers transferring to eligible Indian bank accounts</x:t>
  </x:si>
  <x:si>
    <x:t xml:space="preserve">https://www.facebook.com/AlinmaPaySA/videos/zero-fees-fast-transfers-to-india/873682655502395/</x:t>
  </x:si>
  <x:si>
    <x:t xml:space="preserve">Campaign Classification and Reporting Guide</x:t>
  </x:si>
  <x:si>
    <x:t xml:space="preserve">Record Type</x:t>
  </x:si>
  <x:si>
    <x:t xml:space="preserve">Counted as Campaign?</x:t>
  </x:si>
  <x:si>
    <x:t xml:space="preserve">Use When</x:t>
  </x:si>
  <x:si>
    <x:t xml:space="preserve">Examples</x:t>
  </x:si>
  <x:si>
    <x:t xml:space="preserve">Yes</x:t>
  </x:si>
  <x:si>
    <x:t xml:space="preserve">International transfers, transfer pricing, transfer cashback, or transfer prize draws.</x:t>
  </x:si>
  <x:si>
    <x:t xml:space="preserve">Zero-fee transfer; monthly transfer streak cashback</x:t>
  </x:si>
  <x:si>
    <x:t xml:space="preserve">Domestic-worker salary campaigns through Musaned.</x:t>
  </x:si>
  <x:si>
    <x:t xml:space="preserve">Salary transfer and travel-ticket draw</x:t>
  </x:si>
  <x:si>
    <x:t xml:space="preserve">Bill-payment campaigns through SADAD.</x:t>
  </x:si>
  <x:si>
    <x:t xml:space="preserve">SADAD daily cashback</x:t>
  </x:si>
  <x:si>
    <x:t xml:space="preserve">Card activation, issuance, spend, cashback, or network benefits.</x:t>
  </x:si>
  <x:si>
    <x:t xml:space="preserve">Visa cashback; zero international card fees</x:t>
  </x:si>
  <x:si>
    <x:t xml:space="preserve">Campaign-led games or competitions with a defined campaign mechanic.</x:t>
  </x:si>
  <x:si>
    <x:t xml:space="preserve">Prediction Game; app quiz</x:t>
  </x:si>
  <x:si>
    <x:t xml:space="preserve">No</x:t>
  </x:si>
  <x:si>
    <x:t xml:space="preserve">Individual partner discounts or evergreen merchant benefits.</x:t>
  </x:si>
  <x:si>
    <x:t xml:space="preserve">iHerb, Whites, Huawei, restaurants, pharmacies</x:t>
  </x:si>
  <x:si>
    <x:t xml:space="preserve">Yes, if it meets campaign criteria</x:t>
  </x:si>
  <x:si>
    <x:t xml:space="preserve">A coordinated initiative that does not fit another service category.</x:t>
  </x:si>
  <x:si>
    <x:t xml:space="preserve">Exceptional product campaign</x:t>
  </x:si>
  <x:si>
    <x:t xml:space="preserve">Recommended Merchant-Offer Treatment</x:t>
  </x:si>
  <x:si>
    <x:t xml:space="preserve">Workbook Update Rules</x:t>
  </x:si>
  <x:si>
    <x:t xml:space="preserve">Step</x:t>
  </x:si>
  <x:si>
    <x:t xml:space="preserve">Instruction</x:t>
  </x:si>
  <x:si>
    <x:t xml:space="preserve">Reference</x:t>
  </x:si>
  <x:si>
    <x:t xml:space="preserve">Source</x:t>
  </x:si>
  <x:si>
    <x:t xml:space="preserve">Use in This Workbook</x:t>
  </x:si>
  <x:si>
    <x:t xml:space="preserve">URL</x:t>
  </x:si>
  <x:si>
    <x:t xml:space="preserve">Note</x:t>
  </x:si>
  <x:si>
    <x:t xml:space="preserve">1</x:t>
  </x:si>
  <x:si>
    <x:t xml:space="preserve">Promotion vs. marketing</x:t>
  </x:si>
  <x:si>
    <x:t xml:space="preserve">American Marketing Association</x:t>
  </x:si>
  <x:si>
    <x:t xml:space="preserve">Supports treating promotions as tactical components rather than the full campaign structure.</x:t>
  </x:si>
  <x:si>
    <x:t xml:space="preserve">https://www.ama.org/marketing-news/marketing-vs-promotion-key-differences-and-how-they-impact-your-strategy/</x:t>
  </x:si>
  <x:si>
    <x:t xml:space="preserve">Promotions are tactical and short-term.</x:t>
  </x:si>
  <x:si>
    <x:t xml:space="preserve">2</x:t>
  </x:si>
  <x:si>
    <x:t xml:space="preserve">Campaign definition</x:t>
  </x:si>
  <x:si>
    <x:t xml:space="preserve">Google Ads Help</x:t>
  </x:si>
  <x:si>
    <x:t xml:space="preserve">Supports treating a campaign as an organized set sharing settings/objectives, rather than every individual offer.</x:t>
  </x:si>
  <x:si>
    <x:t xml:space="preserve">https://support.google.com/google-ads/answer/6304?hl=en</x:t>
  </x:si>
  <x:si>
    <x:t xml:space="preserve">Campaigns organize related activity.</x:t>
  </x:si>
  <x:si>
    <x:t xml:space="preserve">3</x:t>
  </x:si>
  <x:si>
    <x:t xml:space="preserve">Campaign hierarchy</x:t>
  </x:si>
  <x:si>
    <x:t xml:space="preserve">Salesforce Help</x:t>
  </x:si>
  <x:si>
    <x:t xml:space="preserve">Supports rolling related activities into a parent/program hierarchy with metrics aggregated separately.</x:t>
  </x:si>
  <x:si>
    <x:t xml:space="preserve">https://help.salesforce.com/s/articleView?id=sales.campaigns_hierarchy.htm&amp;language=en_US&amp;type=5</x:t>
  </x:si>
  <x:si>
    <x:t xml:space="preserve">Use hierarchy/program roll-ups where needed.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</x:si>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</x:sst>
</file>

<file path=xl/styles.xml><?xml version="1.0" encoding="utf-8"?>
<x:styleSheet xmlns:x="http://schemas.openxmlformats.org/spreadsheetml/2006/main">
  <x:numFmts count="3">
    <x:numFmt numFmtId="164" formatCode="mmmm\ d\,\ yyyy"/>
    <x:numFmt numFmtId="165" formatCode="yyyy\-mm\-dd"/>
    <x:numFmt numFmtId="200" formatCode="0%"/>
  </x:numFmts>
  <x:fonts count="21">
    <x:font>
      <x:sz val="11"/>
      <x:name val="Carlito"/>
    </x:font>
    <x:font>
      <x:b/>
      <x:sz val="18"/>
      <x:color rgb="FFFFFFFF"/>
      <x:name val="Carlito"/>
    </x:font>
    <x:font>
      <x:sz val="11"/>
      <x:color rgb="FFD8E8F0"/>
      <x:name val="Carlito"/>
    </x:font>
    <x:font>
      <x:b/>
      <x:sz val="11"/>
      <x:color rgb="FF263746"/>
      <x:name val="Carlito"/>
    </x:font>
    <x:font>
      <x:b/>
      <x:sz val="11"/>
      <x:color rgb="FFFFFFFF"/>
      <x:name val="Carlito"/>
    </x:font>
    <x:font>
      <x:b/>
      <x:sz val="20"/>
      <x:color rgb="FF17324D"/>
      <x:name val="Carlito"/>
    </x:font>
    <x:font>
      <x:b/>
      <x:sz val="13"/>
      <x:color rgb="FFFFFFFF"/>
      <x:name val="Carlito"/>
    </x:font>
    <x:font>
      <x:b/>
      <x:sz val="11"/>
      <x:color rgb="FF17324D"/>
      <x:name val="Carlito"/>
    </x:font>
    <x:font>
      <x:sz val="11"/>
      <x:color rgb="FF263746"/>
      <x:name val="Carlito"/>
    </x:font>
    <x:font>
      <x:b/>
      <x:sz val="12"/>
      <x:color rgb="FFFFFFFF"/>
      <x:name val="Carlito"/>
    </x:font>
    <x:font>
      <x:b/>
      <x:sz val="17"/>
      <x:color rgb="FFFFFFFF"/>
      <x:name val="Carlito"/>
    </x:font>
    <x:font>
      <x:sz val="10"/>
      <x:color rgb="FFD8E8F0"/>
      <x:name val="Carlito"/>
    </x:font>
    <x:font>
      <x:b/>
      <x:sz val="18"/>
      <x:color rgb="FF17324D"/>
      <x:name val="Carlito"/>
    </x:font>
    <x:font>
      <x:sz val="11"/>
      <x:color rgb="FF5D6870"/>
      <x:name val="Carlito"/>
    </x:font>
    <x:font>
      <x:sz val="11"/>
      <x:color rgb="FF3C596B"/>
      <x:name val="Carlito"/>
    </x:font>
    <x:font>
      <x:b/>
      <x:sz val="11"/>
      <x:color rgb="FF1F4E78"/>
      <x:name val="Carlito"/>
    </x:font>
    <x:font>
      <x:b/>
      <x:sz val="13"/>
      <x:color rgb="FF17324D"/>
      <x:name val="Carlito"/>
    </x:font>
    <x:font>
      <x:sz val="11"/>
      <x:color rgb="FF263746"/>
      <x:name val="Carlito"/>
    </x:font>
    <x:font>
      <x:sz val="1"/>
      <x:color rgb="FFFFFFFF"/>
      <x:name val="Carlito"/>
    </x:font>
    <x:font>
      <x:sz val="11"/>
      <x:color theme="10"/>
      <x:name val="Carlito"/>
    </x:font>
    <x:font>
      <x:sz val="11"/>
      <x:color rgb="FF1F4E78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4E87B8"/>
      </x:patternFill>
    </x:fill>
    <x:fill>
      <x:patternFill patternType="solid">
        <x:fgColor rgb="FFE5E9ED"/>
      </x:patternFill>
    </x:fill>
    <x:fill>
      <x:patternFill patternType="solid">
        <x:fgColor rgb="FF17324D"/>
      </x:patternFill>
    </x:fill>
    <x:fill>
      <x:patternFill patternType="solid">
        <x:fgColor rgb="FF244E6A"/>
      </x:patternFill>
    </x:fill>
    <x:fill>
      <x:patternFill patternType="solid">
        <x:fgColor rgb="FFFFF4D6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8A63C"/>
      </x:patternFill>
    </x:fill>
    <x:fill>
      <x:patternFill patternType="solid">
        <x:fgColor rgb="FF009C9C"/>
      </x:patternFill>
    </x:fill>
    <x:fill>
      <x:patternFill patternType="solid">
        <x:fgColor rgb="FF4E87B8"/>
      </x:patternFill>
    </x:fill>
    <x:fill>
      <x:patternFill patternType="solid">
        <x:fgColor rgb="FFE5F6F5"/>
      </x:patternFill>
    </x:fill>
    <x:fill>
      <x:patternFill patternType="solid">
        <x:fgColor rgb="FFFFFFFF"/>
      </x:patternFill>
    </x:fill>
    <x:fill>
      <x:patternFill patternType="solid">
        <x:fgColor rgb="FFF2F4F6"/>
      </x:patternFill>
    </x:fill>
    <x:fill>
      <x:patternFill patternType="solid">
        <x:fgColor rgb="FFFFF4D6"/>
      </x:patternFill>
    </x:fill>
    <x:fill>
      <x:patternFill patternType="solid">
        <x:fgColor rgb="FF244E6A"/>
      </x:patternFill>
    </x:fill>
    <x:fill>
      <x:patternFill patternType="solid">
        <x:fgColor rgb="FF4E87B8"/>
      </x:patternFill>
    </x:fill>
    <x:fill>
      <x:patternFill patternType="solid">
        <x:fgColor rgb="FFF2F4F6"/>
      </x:patternFill>
    </x:fill>
    <x:fill>
      <x:patternFill patternType="solid">
        <x:fgColor rgb="FFB4C7E7"/>
      </x:patternFill>
    </x:fill>
    <x:fill>
      <x:patternFill patternType="solid">
        <x:fgColor rgb="FF17324D"/>
      </x:patternFill>
    </x:fill>
    <x:fill>
      <x:patternFill patternType="solid">
        <x:fgColor rgb="FF009C9C"/>
      </x:patternFill>
    </x:fill>
    <x:fill>
      <x:patternFill patternType="solid">
        <x:fgColor rgb="FFE5F6F5"/>
      </x:patternFill>
    </x:fill>
    <x:fill>
      <x:patternFill patternType="solid">
        <x:fgColor rgb="FFEAF2F8"/>
      </x:patternFill>
    </x:fill>
    <x:fill>
      <x:patternFill patternType="solid">
        <x:fgColor rgb="FFB4C7E7"/>
      </x:patternFill>
    </x:fill>
  </x:fills>
  <x:borders count="2">
    <x:border/>
    <x:border/>
  </x:borders>
  <x:cellStyleXfs count="2">
    <x:xf numFmtId="0" fontId="0" fillId="0" borderId="0"/>
    <x:xf numFmtId="0" fontId="19" fillId="0" borderId="0" applyNumberFormat="0" applyFill="0" applyBorder="0" applyAlignment="0" applyProtection="0"/>
  </x:cellStyleXfs>
  <x:cellXfs count="130"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4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165" fontId="0" fillId="0" borderId="0" xfId="0" applyNumberFormat="1" applyAlignment="1">
      <x:alignment vertical="top" wrapText="1"/>
    </x:xf>
    <x:xf numFmtId="0" fontId="0" fillId="4" borderId="0" xfId="0" applyFill="1" applyAlignment="1">
      <x:alignment vertical="top" wrapText="1"/>
    </x:xf>
    <x:xf numFmtId="1" fontId="0" fillId="4" borderId="0" xfId="0" applyNumberFormat="1" applyFill="1" applyAlignment="1">
      <x:alignment vertical="top" wrapText="1"/>
    </x:xf>
    <x:xf numFmtId="0" fontId="13" fillId="4" borderId="0" xfId="0" applyFont="1" applyFill="1" applyAlignment="1">
      <x:alignment vertical="top" wrapText="1"/>
    </x:xf>
    <x:xf numFmtId="0" fontId="14" fillId="4" borderId="0" xfId="0" applyFont="1" applyFill="1" applyAlignment="1">
      <x:alignment vertical="top" wrapText="1"/>
    </x:xf>
    <x:xf numFmtId="0" fontId="3" fillId="7" borderId="0" xfId="0" applyFont="1" applyFill="1" applyAlignment="1">
      <x:alignment vertical="center" wrapText="1"/>
    </x:xf>
    <x:xf numFmtId="164" fontId="3" fillId="7" borderId="0" xfId="0" applyNumberFormat="1" applyFont="1" applyFill="1" applyAlignment="1">
      <x:alignment vertical="center" wrapText="1"/>
    </x:xf>
    <x:xf numFmtId="0" fontId="4" fillId="6" borderId="0" xfId="0" applyFont="1" applyFill="1" applyAlignment="1">
      <x:alignment horizontal="center" vertical="center" wrapText="1"/>
    </x:xf>
    <x:xf numFmtId="0" fontId="5" fillId="8" borderId="0" xfId="0" applyFont="1" applyFill="1" applyAlignment="1">
      <x:alignment horizontal="center" vertical="center"/>
    </x:xf>
    <x:xf numFmtId="0" fontId="4" fillId="9" borderId="0" xfId="0" applyFont="1" applyFill="1" applyAlignment="1">
      <x:alignment horizontal="center" vertical="center" wrapText="1"/>
    </x:xf>
    <x:xf numFmtId="0" fontId="5" fillId="10" borderId="0" xfId="0" applyFont="1" applyFill="1" applyAlignment="1">
      <x:alignment horizontal="center" vertical="center"/>
    </x:xf>
    <x:xf numFmtId="0" fontId="4" fillId="11" borderId="0" xfId="0" applyFont="1" applyFill="1" applyAlignment="1">
      <x:alignment horizontal="center" vertical="center" wrapText="1"/>
    </x:xf>
    <x:xf numFmtId="0" fontId="5" fillId="7" borderId="0" xfId="0" applyFont="1" applyFill="1" applyAlignment="1">
      <x:alignment horizontal="center" vertical="center"/>
    </x:xf>
    <x:xf numFmtId="0" fontId="4" fillId="12" borderId="0" xfId="0" applyFont="1" applyFill="1" applyAlignment="1">
      <x:alignment horizontal="center" vertical="center" wrapText="1"/>
    </x:xf>
    <x:xf numFmtId="0" fontId="15" fillId="10" borderId="0" xfId="0" applyFont="1" applyFill="1" applyAlignment="1">
      <x:alignment horizontal="center" vertical="center" wrapText="1"/>
    </x:xf>
    <x:xf numFmtId="0" fontId="15" fillId="10" borderId="0" xfId="0" applyFont="1" applyFill="1" applyAlignment="1">
      <x:alignment vertical="center" wrapText="1"/>
    </x:xf>
    <x:xf numFmtId="0" fontId="4" fillId="13" borderId="0" xfId="0" applyFont="1" applyFill="1"/>
    <x:xf numFmtId="0" fontId="4" fillId="13" borderId="0" xfId="0" applyFont="1" applyFill="1" applyAlignment="1">
      <x:alignment horizontal="center" vertical="center" wrapText="1"/>
    </x:xf>
    <x:xf numFmtId="0" fontId="7" fillId="14" borderId="0" xfId="0" applyFont="1" applyFill="1" applyAlignment="1">
      <x:alignment horizontal="center"/>
    </x:xf>
    <x:xf numFmtId="0" fontId="15" fillId="10" borderId="0" xfId="0" applyFont="1" applyFill="1" applyAlignment="1">
      <x:alignment horizontal="center"/>
    </x:xf>
    <x:xf numFmtId="0" fontId="0" fillId="0" borderId="0" xfId="0" applyAlignment="1">
      <x:alignment horizontal="center"/>
    </x:xf>
    <x:xf numFmtId="0" fontId="4" fillId="12" borderId="0" xfId="0" applyFont="1" applyFill="1" applyAlignment="1">
      <x:alignment horizontal="center" vertical="center"/>
    </x:xf>
    <x:xf numFmtId="0" fontId="15" fillId="10" borderId="0" xfId="0" applyFont="1" applyFill="1" applyAlignment="1">
      <x:alignment vertical="top" wrapText="1"/>
    </x:xf>
    <x:xf numFmtId="0" fontId="0" fillId="7" borderId="0" xfId="0" applyFill="1" applyAlignment="1">
      <x:alignment vertical="top" wrapText="1"/>
    </x:xf>
    <x:xf numFmtId="0" fontId="7" fillId="11" borderId="0" xfId="0" applyFont="1" applyFill="1" applyAlignment="1">
      <x:alignment horizontal="center" wrapText="1"/>
    </x:xf>
    <x:xf numFmtId="0" fontId="18" fillId="0" borderId="0" xfId="0" applyFont="1"/>
    <x:xf numFmtId="0" fontId="7" fillId="17" borderId="0" xfId="0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7" fillId="17" borderId="0" xfId="0" applyFont="1" applyFill="1" applyAlignment="1">
      <x:alignment horizontal="center" vertical="center"/>
    </x:xf>
    <x:xf numFmtId="0" fontId="4" fillId="19" borderId="0" xfId="0" applyFont="1" applyFill="1" applyAlignment="1">
      <x:alignment horizontal="center" vertical="center" wrapText="1"/>
    </x:xf>
    <x:xf numFmtId="0" fontId="8" fillId="20" borderId="0" xfId="0" applyFont="1" applyFill="1" applyAlignment="1">
      <x:alignment vertical="center" wrapText="1"/>
    </x:xf>
    <x:xf numFmtId="0" fontId="4" fillId="23" borderId="0" xfId="0" applyFont="1" applyFill="1" applyAlignment="1">
      <x:alignment horizontal="center" vertical="center" wrapText="1"/>
    </x:xf>
    <x:xf numFmtId="0" fontId="7" fillId="24" borderId="0" xfId="0" applyFont="1" applyFill="1" applyAlignment="1">
      <x:alignment horizontal="center" vertical="center"/>
    </x:xf>
    <x:xf numFmtId="0" fontId="1" fillId="5" borderId="0" xfId="0" applyFont="1" applyFill="1" applyAlignment="1">
      <x:alignment horizontal="center" vertical="center"/>
    </x:xf>
    <x:xf numFmtId="0" fontId="2" fillId="6" borderId="0" xfId="0" applyFont="1" applyFill="1" applyAlignment="1">
      <x:alignment horizontal="center" vertical="center"/>
    </x:xf>
    <x:xf numFmtId="0" fontId="3" fillId="7" borderId="0" xfId="0" applyFont="1" applyFill="1" applyAlignment="1">
      <x:alignment vertical="center" wrapText="1"/>
    </x:xf>
    <x:xf numFmtId="0" fontId="4" fillId="6" borderId="0" xfId="0" applyFont="1" applyFill="1" applyAlignment="1">
      <x:alignment horizontal="center" vertical="center" wrapText="1"/>
    </x:xf>
    <x:xf numFmtId="0" fontId="5" fillId="8" borderId="0" xfId="0" applyFont="1" applyFill="1" applyAlignment="1">
      <x:alignment horizontal="center" vertical="center"/>
    </x:xf>
    <x:xf numFmtId="0" fontId="4" fillId="9" borderId="0" xfId="0" applyFont="1" applyFill="1" applyAlignment="1">
      <x:alignment horizontal="center" vertical="center" wrapText="1"/>
    </x:xf>
    <x:xf numFmtId="0" fontId="4" fillId="11" borderId="0" xfId="0" applyFont="1" applyFill="1" applyAlignment="1">
      <x:alignment horizontal="center" vertical="center" wrapText="1"/>
    </x:xf>
    <x:xf numFmtId="0" fontId="6" fillId="5" borderId="0" xfId="0" applyFont="1" applyFill="1" applyAlignment="1">
      <x:alignment horizontal="left"/>
    </x:xf>
    <x:xf numFmtId="0" fontId="16" fillId="11" borderId="0" xfId="0" applyFont="1" applyFill="1" applyAlignment="1">
      <x:alignment horizontal="left"/>
    </x:xf>
    <x:xf numFmtId="0" fontId="6" fillId="22" borderId="0" xfId="0" applyFont="1" applyFill="1" applyAlignment="1">
      <x:alignment horizontal="left" vertical="center"/>
    </x:xf>
    <x:xf numFmtId="0" fontId="17" fillId="15" borderId="0" xfId="0" applyFont="1" applyFill="1" applyAlignment="1">
      <x:alignment vertical="center" wrapText="1"/>
    </x:xf>
    <x:xf numFmtId="0" fontId="15" fillId="10" borderId="0" xfId="0" applyFont="1" applyFill="1" applyAlignment="1">
      <x:alignment vertical="center" wrapText="1"/>
    </x:xf>
    <x:xf numFmtId="0" fontId="17" fillId="16" borderId="0" xfId="0" applyFont="1" applyFill="1" applyAlignment="1">
      <x:alignment vertical="center" wrapText="1"/>
    </x:xf>
    <x:xf numFmtId="0" fontId="9" fillId="6" borderId="0" xfId="0" applyFont="1" applyFill="1" applyAlignment="1">
      <x:alignment horizontal="left"/>
    </x:xf>
    <x:xf numFmtId="0" fontId="10" fillId="2" borderId="0" xfId="0" applyFont="1" applyFill="1" applyAlignment="1">
      <x:alignment horizontal="center" vertical="center"/>
    </x:xf>
    <x:xf numFmtId="0" fontId="12" fillId="8" borderId="0" xfId="0" applyFont="1" applyFill="1" applyAlignment="1">
      <x:alignment horizontal="center" vertical="center"/>
    </x:xf>
    <x:xf numFmtId="0" fontId="12" fillId="10" borderId="0" xfId="0" applyFont="1" applyFill="1" applyAlignment="1">
      <x:alignment horizontal="center" vertical="center"/>
    </x:xf>
    <x:xf numFmtId="0" fontId="12" fillId="7" borderId="0" xfId="0" applyFont="1" applyFill="1" applyAlignment="1">
      <x:alignment horizontal="center" vertical="center"/>
    </x:xf>
    <x:xf numFmtId="0" fontId="11" fillId="18" borderId="0" xfId="0" applyFont="1" applyFill="1" applyAlignment="1">
      <x:alignment horizontal="center" vertical="center" wrapText="1"/>
    </x:xf>
    <x:xf numFmtId="0" fontId="15" fillId="21" borderId="0" xfId="0" applyFont="1" applyFill="1" applyAlignment="1">
      <x:alignment horizontal="center" vertical="center" wrapText="1"/>
    </x:xf>
    <x:xf numFmtId="0" fontId="10" fillId="5" borderId="0" xfId="0" applyFont="1" applyFill="1" applyAlignment="1">
      <x:alignment horizontal="center" vertical="center"/>
    </x:xf>
    <x:xf numFmtId="0" fontId="15" fillId="10" borderId="0" xfId="0" applyFont="1" applyFill="1" applyAlignment="1">
      <x:alignment horizontal="center" vertical="center" wrapText="1"/>
    </x:xf>
    <x:xf numFmtId="0" fontId="8" fillId="15" borderId="0" xfId="0" applyFont="1" applyFill="1" applyAlignment="1">
      <x:alignment vertical="center" wrapText="1"/>
    </x:xf>
    <x:xf numFmtId="0" fontId="8" fillId="16" borderId="0" xfId="0" applyFont="1" applyFill="1" applyAlignment="1">
      <x:alignment vertical="center" wrapText="1"/>
    </x:xf>
    <x:xf numFmtId="0" fontId="7" fillId="25" borderId="0" xfId="0" applyFont="1" applyFill="1" applyAlignment="1">
      <x:alignment vertical="center" wrapText="1"/>
    </x:xf>
    <x:xf numFmtId="0" fontId="19" fillId="0" borderId="0" xfId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1" fontId="0" fillId="4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vertical="top" wrapText="1"/>
    </x:xf>
    <x:xf numFmtId="0" fontId="14" fillId="4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center" wrapText="1"/>
    </x:xf>
    <x:xf numFmtId="164" fontId="3" fillId="7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15" fillId="10" borderId="1" xfId="0" applyNumberFormat="1" applyFont="1" applyFill="1" applyBorder="1" applyAlignment="1">
      <x:alignment horizontal="center" vertical="center" wrapText="1"/>
    </x:xf>
    <x:xf numFmtId="0" fontId="15" fillId="1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7" fillId="14" borderId="1" xfId="0" applyNumberFormat="1" applyFont="1" applyFill="1" applyBorder="1" applyAlignment="1">
      <x:alignment horizontal="center"/>
    </x:xf>
    <x:xf numFmtId="0" fontId="15" fillId="1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12" borderId="1" xfId="0" applyNumberFormat="1" applyFont="1" applyFill="1" applyBorder="1" applyAlignment="1">
      <x:alignment horizontal="center" vertical="center"/>
    </x:xf>
    <x:xf numFmtId="0" fontId="15" fillId="1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horizontal="center" wrapText="1"/>
    </x:xf>
    <x:xf numFmtId="0" fontId="18" fillId="0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8" fillId="16" borderId="1" xfId="0" applyNumberFormat="1" applyFont="1" applyFill="1" applyBorder="1" applyAlignment="1">
      <x:alignment vertical="center" wrapText="1"/>
    </x:xf>
    <x:xf numFmtId="0" fontId="7" fillId="14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left"/>
    </x:xf>
    <x:xf numFmtId="0" fontId="16" fillId="11" borderId="1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 applyAlignment="1">
      <x:alignment horizontal="left" vertical="center"/>
    </x:xf>
    <x:xf numFmtId="0" fontId="8" fillId="15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 applyAlignment="1">
      <x:alignment horizontal="center" vertical="center"/>
    </x:xf>
    <x:xf numFmtId="0" fontId="12" fillId="8" borderId="1" xfId="0" applyNumberFormat="1" applyFont="1" applyFill="1" applyBorder="1" applyAlignment="1">
      <x:alignment horizontal="center" vertical="center"/>
    </x:xf>
    <x:xf numFmtId="0" fontId="12" fillId="10" borderId="1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5" fillId="21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165" fontId="0" fillId="26" borderId="0" xfId="0" applyNumberFormat="1" applyFont="1" applyFill="1" applyBorder="1" applyAlignment="1">
      <x:alignment vertical="top" wrapText="1"/>
    </x:xf>
    <x:xf numFmtId="1" fontId="0" fillId="26" borderId="0" xfId="0" applyNumberFormat="1" applyFont="1" applyFill="1" applyBorder="1" applyAlignment="1">
      <x:alignment vertical="top" wrapText="1"/>
    </x:xf>
    <x:xf numFmtId="0" fontId="14" fillId="26" borderId="0" xfId="0" applyNumberFormat="1" applyFont="1" applyFill="1" applyBorder="1" applyAlignment="1">
      <x:alignment vertical="top" wrapText="1"/>
    </x:xf>
    <x:xf numFmtId="0" fontId="8" fillId="26" borderId="0" xfId="0" applyNumberFormat="1" applyFont="1" applyFill="1" applyBorder="1" applyAlignment="1">
      <x:alignment vertical="center" wrapText="1"/>
    </x:xf>
    <x:xf numFmtId="0" fontId="0" fillId="26" borderId="1" xfId="0" applyNumberFormat="1" applyFont="1" applyFill="1" applyBorder="1" applyAlignment="1">
      <x:alignment vertical="top" wrapText="1"/>
    </x:xf>
    <x:xf numFmtId="165" fontId="0" fillId="26" borderId="1" xfId="0" applyNumberFormat="1" applyFont="1" applyFill="1" applyBorder="1" applyAlignment="1">
      <x:alignment vertical="top" wrapText="1"/>
    </x:xf>
    <x:xf numFmtId="1" fontId="0" fillId="26" borderId="1" xfId="0" applyNumberFormat="1" applyFont="1" applyFill="1" applyBorder="1" applyAlignment="1">
      <x:alignment vertical="top" wrapText="1"/>
    </x:xf>
    <x:xf numFmtId="0" fontId="14" fillId="26" borderId="1" xfId="0" applyNumberFormat="1" applyFont="1" applyFill="1" applyBorder="1" applyAlignment="1">
      <x:alignment vertical="top" wrapText="1"/>
    </x:xf>
    <x:xf numFmtId="0" fontId="8" fillId="26" borderId="1" xfId="0" applyNumberFormat="1" applyFont="1" applyFill="1" applyBorder="1" applyAlignment="1">
      <x:alignment vertical="center" wrapText="1"/>
    </x:xf>
    <x:xf numFmtId="0" fontId="20" fillId="26" borderId="0" xfId="0" applyNumberFormat="1" applyFont="1" applyFill="1" applyBorder="1" applyAlignment="1">
      <x:alignment vertical="top" wrapText="1"/>
    </x:xf>
    <x:xf numFmtId="165" fontId="20" fillId="26" borderId="0" xfId="0" applyNumberFormat="1" applyFont="1" applyFill="1" applyBorder="1" applyAlignment="1">
      <x:alignment vertical="top" wrapText="1"/>
    </x:xf>
    <x:xf numFmtId="1" fontId="20" fillId="26" borderId="0" xfId="0" applyNumberFormat="1" applyFont="1" applyFill="1" applyBorder="1" applyAlignment="1">
      <x:alignment vertical="top" wrapText="1"/>
    </x:xf>
    <x:xf numFmtId="0" fontId="20" fillId="2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7" fillId="7" borderId="0" xfId="0" applyNumberFormat="1" applyFont="1" applyFill="1" applyBorder="1" applyAlignment="1">
      <x:alignment horizontal="center" vertical="center"/>
    </x:xf>
  </x:cellXfs>
  <x:cellStyles count="2">
    <x:cellStyle name="Hyperlink" xfId="1"/>
    <x:cellStyle name="Normal" xfId="0"/>
  </x:cellStyles>
  <x:dxfs count="91"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  <x:dxf>
      <x:font>
        <x:i/>
        <x:color rgb="FF626B73"/>
      </x:font>
      <x:fill>
        <x:patternFill>
          <x:bgColor rgb="FFE7E9EC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color rgb="FF626B73"/>
      </x:font>
      <x:fill>
        <x:patternFill>
          <x:bgColor rgb="FFE7E9EC"/>
        </x:patternFill>
      </x:fill>
    </x:dxf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7324D"/>
      </x:font>
      <x:fill>
        <x:patternFill>
          <x:bgColor rgb="FFEAF2F8"/>
        </x:patternFill>
      </x:fill>
    </x:dxf>
    <x:dxf>
      <x:font>
        <x:b/>
        <x:color rgb="FF246B36"/>
      </x:font>
      <x:fill>
        <x:patternFill>
          <x:bgColor rgb="FFDDF1E2"/>
        </x:patternFill>
      </x:fill>
    </x:dxf>
    <x:dxf>
      <x:font>
        <x:b/>
        <x:color rgb="FFFFFFFF"/>
      </x:font>
      <x:fill>
        <x:patternFill>
          <x:bgColor rgb="FF1F4E78"/>
        </x:patternFill>
      </x:fill>
    </x:dxf>
    <x:dxf>
      <x:font>
        <x:b/>
        <x:color rgb="FFA52A2A"/>
      </x:font>
      <x:fill>
        <x:patternFill>
          <x:bgColor rgb="FFFBE0E0"/>
        </x:patternFill>
      </x:fill>
    </x:dxf>
    <x:dxf>
      <x:font>
        <x:b/>
        <x:color rgb="FF1F4E78"/>
      </x:font>
      <x:fill>
        <x:patternFill>
          <x:bgColor rgb="FFB4C7E7"/>
        </x:patternFill>
      </x:fill>
    </x:dxf>
    <x:dxf>
      <x:font>
        <x:color rgb="FF6B5A20"/>
      </x:font>
      <x:fill>
        <x:patternFill>
          <x:bgColor rgb="FFFFF4D6"/>
        </x:patternFill>
      </x:fill>
    </x:dxf>
    <x:dxf>
      <x:font>
        <x:color rgb="FFA52A2A"/>
      </x:font>
      <x:fill>
        <x:patternFill>
          <x:bgColor rgb="FFFB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3230a58054def" /><Relationship Type="http://schemas.openxmlformats.org/officeDocument/2006/relationships/theme" Target="/xl/theme/theme1.xml" Id="R5cc67516cf504147" /><Relationship Type="http://schemas.openxmlformats.org/officeDocument/2006/relationships/sharedStrings" Target="/xl/sharedStrings.xml" Id="R325abfcaa05e49e8" /><Relationship Type="http://schemas.openxmlformats.org/officeDocument/2006/relationships/worksheet" Target="/xl/worksheets/sheet1.xml" Id="R8bfa44e4a7c742be" /><Relationship Type="http://schemas.openxmlformats.org/officeDocument/2006/relationships/worksheet" Target="/xl/worksheets/sheet2.xml" Id="R2e06e46aab874d7f" /><Relationship Type="http://schemas.openxmlformats.org/officeDocument/2006/relationships/worksheet" Target="/xl/worksheets/sheet3.xml" Id="Ra56fd28c908b435e" /><Relationship Type="http://schemas.openxmlformats.org/officeDocument/2006/relationships/worksheet" Target="/xl/worksheets/sheet4.xml" Id="R94fc1ecd33504839" /><Relationship Type="http://schemas.openxmlformats.org/officeDocument/2006/relationships/worksheet" Target="/xl/worksheets/sheet5.xml" Id="Rc405098af46c4d0d" /><Relationship Type="http://schemas.openxmlformats.org/officeDocument/2006/relationships/worksheet" Target="/xl/worksheets/sheet6.xml" Id="R78cbdb297ae84077" /><Relationship Type="http://schemas.openxmlformats.org/officeDocument/2006/relationships/worksheet" Target="/xl/worksheets/sheet7.xml" Id="Rf9268759951b465c" /><Relationship Type="http://schemas.openxmlformats.org/officeDocument/2006/relationships/worksheet" Target="/xl/worksheets/sheet8.xml" Id="Rb7478ae8afe545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f37ecfa86a4725" /><Relationship Type="http://schemas.openxmlformats.org/officeDocument/2006/relationships/chart" Target="/xl/drawings/charts/chart2.xml" Id="R189a839208b44784" /><Relationship Type="http://schemas.openxmlformats.org/officeDocument/2006/relationships/chart" Target="/xl/drawings/charts/chart3.xml" Id="Rae770279fed9449d" /><Relationship Type="http://schemas.openxmlformats.org/officeDocument/2006/relationships/chart" Target="/xl/drawings/charts/chart4.xml" Id="R4d5300143ead441a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Campaign Mix (Merchant Excluded)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Market Count</c:v>
          </c:tx>
          <c:cat>
            <c:strRef>
              <c:f>'Executive Dashboard'!$X$19:$X$24</c:f>
              <c:strCache>
                <c:ptCount val="6"/>
                <c:pt idx="0">
                  <c:v>Remittance</c:v>
                </c:pt>
                <c:pt idx="1">
                  <c:v>Musaned</c:v>
                </c:pt>
                <c:pt idx="2">
                  <c:v>SADAD</c:v>
                </c:pt>
                <c:pt idx="3">
                  <c:v>Card</c:v>
                </c:pt>
                <c:pt idx="4">
                  <c:v>Engagement</c:v>
                </c:pt>
                <c:pt idx="5">
                  <c:v>Other</c:v>
                </c:pt>
              </c:strCache>
            </c:strRef>
          </c:cat>
          <c:val>
            <c:numRef>
              <c:f>'Executive Dashboard'!$Y$19:$Y$24</c:f>
              <c:numCache>
                <c:formatCode>General</c:formatCode>
                <c:ptCount val="6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Remittance Campaign Focus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Remittance Campaigns</c:v>
          </c:tx>
          <c:cat>
            <c:strRef>
              <c:f>'Executive Dashboard'!$X$31:$X$36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Dashboard'!$Y$31:$Y$36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Dashboard'!$B$9</c:f>
              <c:strCache>
                <c:ptCount val="1"/>
                <c:pt idx="0">
                  <c:v>Current Campaigns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strRef>
              <c:f>'Executive Dashboard'!$A$10:$A$15</c:f>
              <c:strCache>
                <c:ptCount val="6"/>
                <c:pt idx="0">
                  <c:v>STC Bank</c:v>
                </c:pt>
                <c:pt idx="1">
                  <c:v>barq</c:v>
                </c:pt>
                <c:pt idx="2">
                  <c:v>Mobily Pay</c:v>
                </c:pt>
                <c:pt idx="3">
                  <c:v>tiqmo</c:v>
                </c:pt>
                <c:pt idx="4">
                  <c:v>urpay</c:v>
                </c:pt>
                <c:pt idx="5">
                  <c:v>alinma pay</c:v>
                </c:pt>
              </c:strCache>
            </c:strRef>
          </c:cat>
          <c:val>
            <c:numRef>
              <c:f>'Executive Dashboard'!$B$10:$B$15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9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800" b="0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lt1"/>
    </a:solidFill>
    <a:ln xmlns:a="http://schemas.openxmlformats.org/drawingml/2006/main" w="9525" cmpd="sng">
      <a:noFill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Social Media Activity — Last 14 Days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Instagram</c:v>
          </c:tx>
          <c:cat>
            <c:strRef>
              <c:f>'Executive Dashboard'!$A$54:$A$59</c:f>
              <c:strCache>
                <c:ptCount val="0"/>
              </c:strCache>
            </c:strRef>
          </c:cat>
          <c:val>
            <c:numRef>
              <c:f>'Executive Dashboard'!$B$54:$B$59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X</c:v>
          </c:tx>
          <c:cat>
            <c:strRef>
              <c:f>'Executive Dashboard'!$A$54:$A$59</c:f>
              <c:strCache>
                <c:ptCount val="0"/>
              </c:strCache>
            </c:strRef>
          </c:cat>
          <c:val>
            <c:numRef>
              <c:f>'Executive Dashboard'!$C$54:$C$59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Facebook</c:v>
          </c:tx>
          <c:cat>
            <c:strRef>
              <c:f>'Executive Dashboard'!$A$54:$A$59</c:f>
              <c:strCache>
                <c:ptCount val="0"/>
              </c:strCache>
            </c:strRef>
          </c:cat>
          <c:val>
            <c:numRef>
              <c:f>'Executive Dashboard'!$D$54:$D$59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TikTok</c:v>
          </c:tx>
          <c:cat>
            <c:strRef>
              <c:f>'Executive Dashboard'!$A$54:$A$59</c:f>
              <c:strCache>
                <c:ptCount val="0"/>
              </c:strCache>
            </c:strRef>
          </c:cat>
          <c:val>
            <c:numRef>
              <c:f>'Executive Dashboard'!$E$54:$E$59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328447</xdr:colOff>
      <xdr:row>18</xdr:row>
      <xdr:rowOff>1</xdr:rowOff>
    </xdr:from>
    <xdr:to>
      <xdr:col>12</xdr:col>
      <xdr:colOff>547414</xdr:colOff>
      <xdr:row>28</xdr:row>
      <xdr:rowOff>142328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f37ecfa86a4725"/>
        </a:graphicData>
      </a:graphic>
    </xdr:graphicFrame>
    <xdr:clientData/>
  </xdr:twoCellAnchor>
  <xdr:twoCellAnchor>
    <xdr:from>
      <xdr:col>7</xdr:col>
      <xdr:colOff>317500</xdr:colOff>
      <xdr:row>30</xdr:row>
      <xdr:rowOff>1</xdr:rowOff>
    </xdr:from>
    <xdr:to>
      <xdr:col>12</xdr:col>
      <xdr:colOff>613103</xdr:colOff>
      <xdr:row>40</xdr:row>
      <xdr:rowOff>153276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9a839208b44784"/>
        </a:graphicData>
      </a:graphic>
    </xdr:graphicFrame>
    <xdr:clientData/>
  </xdr:twoCellAnchor>
  <xdr:twoCellAnchor>
    <xdr:from>
      <xdr:col>13</xdr:col>
      <xdr:colOff>193782</xdr:colOff>
      <xdr:row>5</xdr:row>
      <xdr:rowOff>10948</xdr:rowOff>
    </xdr:from>
    <xdr:to>
      <xdr:col>22</xdr:col>
      <xdr:colOff>54740</xdr:colOff>
      <xdr:row>16</xdr:row>
      <xdr:rowOff>164224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770279fed9449d"/>
        </a:graphicData>
      </a:graphic>
    </xdr:graphicFrame>
    <xdr:clientData/>
  </xdr:twoCellAnchor>
  <xdr:twoCellAnchor>
    <xdr:from>
      <xdr:col>6</xdr:col>
      <xdr:colOff>0</xdr:colOff>
      <xdr:row>51</xdr:row>
      <xdr:rowOff>0</xdr:rowOff>
    </xdr:from>
    <xdr:to>
      <xdr:col>13</xdr:col>
      <xdr:colOff>0</xdr:colOff>
      <xdr:row>61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5300143ead44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" name="STCBankCampaigns" displayName="STCBankCampaigns" ref="A8:U53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2.xml><?xml version="1.0" encoding="utf-8"?>
<x:table xmlns:x="http://schemas.openxmlformats.org/spreadsheetml/2006/main" id="8" name="barqCampaigns" displayName="barq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3.xml><?xml version="1.0" encoding="utf-8"?>
<x:table xmlns:x="http://schemas.openxmlformats.org/spreadsheetml/2006/main" id="9" name="MobilyPayCampaigns" displayName="MobilyPay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4.xml><?xml version="1.0" encoding="utf-8"?>
<x:table xmlns:x="http://schemas.openxmlformats.org/spreadsheetml/2006/main" id="10" name="tiqmoCampaigns" displayName="tiqmo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5.xml><?xml version="1.0" encoding="utf-8"?>
<x:table xmlns:x="http://schemas.openxmlformats.org/spreadsheetml/2006/main" id="11" name="urpayCampaigns" displayName="urpayCampaigns" ref="A8:U46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ables/table6.xml><?xml version="1.0" encoding="utf-8"?>
<x:table xmlns:x="http://schemas.openxmlformats.org/spreadsheetml/2006/main" id="12" name="alinmapayCampaigns" displayName="alinmapayCampaigns" ref="A8:U42">
  <x:tableColumns count="21">
    <x:tableColumn id="1" name="Record ID"/>
    <x:tableColumn id="2" name="Campaign Category"/>
    <x:tableColumn id="3" name="Campaign Name"/>
    <x:tableColumn id="4" name="Summary"/>
    <x:tableColumn id="5" name="Published Date"/>
    <x:tableColumn id="6" name="Start Date"/>
    <x:tableColumn id="7" name="End Date"/>
    <x:tableColumn id="8" name="Days Remaining"/>
    <x:tableColumn id="9" name="Current Status"/>
    <x:tableColumn id="10" name="Operation Type"/>
    <x:tableColumn id="11" name="Mechanic / Offer"/>
    <x:tableColumn id="12" name="Eligibility / Product"/>
    <x:tableColumn id="13" name="Primary Official Source URL"/>
    <x:tableColumn id="14" name="Official Campaign Page URL"/>
    <x:tableColumn id="15" name="Instagram Post URL"/>
    <x:tableColumn id="16" name="X Post URL"/>
    <x:tableColumn id="17" name="Facebook Post URL"/>
    <x:tableColumn id="18" name="TikTok Post URL"/>
    <x:tableColumn id="19" name="Terms / Timing Note"/>
    <x:tableColumn id="20" name="Last Reviewed"/>
    <x:tableColumn id="21" name="Published Social Platfor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ecfa3cc6644f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7724ef1e6e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97a54acd1e44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10448c70f14d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33113ccc264e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f047b21d434b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406d3836b54f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.75" customWidth="1"/>
    <x:col min="2" max="2" width="20.75" customWidth="1"/>
    <x:col min="3" max="3" width="22.5" customWidth="1"/>
    <x:col min="4" max="4" width="16.1640625" customWidth="1"/>
    <x:col min="5" max="5" width="26.9140625" customWidth="1"/>
    <x:col min="6" max="6" width="14.33203125" customWidth="1"/>
    <x:col min="7" max="7" width="26" customWidth="1"/>
    <x:col min="8" max="8" width="12" customWidth="1"/>
    <x:col min="9" max="11" width="15" customWidth="1"/>
    <x:col min="12" max="12" width="14" customWidth="1"/>
    <x:col min="13" max="13" width="16" customWidth="1"/>
    <x:col min="14" max="14" width="24" customWidth="1"/>
    <x:col min="24" max="25" width="2" customWidth="1"/>
  </x:cols>
  <x:sheetData>
    <x:row r="1" ht="24" customHeight="1">
      <x:c r="A1" s="38" t="str">
        <x:v>Competitor Intelligence Campaign Dashboard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>
      <x:c r="A2" s="39" t="s">
        <x:v>0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 ht="28" customHeight="1">
      <x:c r="A3" s="10" t="str">
        <x:v>Research Cut-off</x:v>
      </x:c>
      <x:c r="B3" s="11" t="n">
        <x:v>46240</x:v>
      </x:c>
      <x:c r="C3" s="10"/>
      <x:c r="D3" s="10" t="s">
        <x:v>1</x:v>
      </x:c>
      <x:c r="E3" s="11" t="n">
        <x:f>TODAY()</x:f>
        <x:v>46260</x:v>
      </x:c>
      <x:c r="F3" s="10"/>
      <x:c r="G3" s="40" t="str">
        <x:v>Dashboard includes active approved campaigns only. Merchant offers are excluded and shown only as a count in each competitor sheet.</x:v>
      </x:c>
      <x:c r="H3" s="40"/>
      <x:c r="I3" s="40"/>
      <x:c r="J3" s="40"/>
      <x:c r="K3" s="40"/>
      <x:c r="L3" s="40"/>
      <x:c r="M3" s="40"/>
      <x:c r="N3" s="40"/>
    </x:row>
    <x:row r="5" ht="17.399999618530273" customHeight="1">
      <x:c r="A5" s="12" t="str">
        <x:v>Current Campaigns</x:v>
      </x:c>
      <x:c r="B5" s="12"/>
      <x:c r="C5" s="14" t="str">
        <x:v>Remittance Campaigns</x:v>
      </x:c>
      <x:c r="D5" s="14"/>
      <x:c r="E5" s="16" t="str">
        <x:v>Social Posts — Last 14 Days</x:v>
      </x:c>
      <x:c r="F5" s="16"/>
      <x:c r="G5" s="12" t="str">
        <x:v>Expiring Campaigns ≤30d</x:v>
      </x:c>
      <x:c r="H5" s="12"/>
      <x:c r="I5" s="41" t="str">
        <x:v>Competitors Tracked</x:v>
      </x:c>
      <x:c r="J5" s="41"/>
    </x:row>
    <x:row r="6" ht="25.399999618530273" customHeight="1">
      <x:c r="A6" s="13" t="n">
        <x:f>SUM(B10:B15)</x:f>
        <x:v>48</x:v>
      </x:c>
      <x:c r="B6" s="13"/>
      <x:c r="C6" s="15" t="n">
        <x:f>SUM(G10:G15)</x:f>
        <x:v>10</x:v>
      </x:c>
      <x:c r="D6" s="15"/>
      <x:c r="E6" s="17" t="n">
        <x:f>SUM(F54:F59)</x:f>
        <x:v>0</x:v>
      </x:c>
      <x:c r="F6" s="17"/>
      <x:c r="G6" s="13" t="n">
        <x:f>SUM(E10:F15)</x:f>
        <x:v>2</x:v>
      </x:c>
      <x:c r="H6" s="13"/>
      <x:c r="I6" s="42" t="n">
        <x:f>COUNTA(A10:A15)</x:f>
        <x:v>6</x:v>
      </x:c>
      <x:c r="J6" s="42"/>
    </x:row>
    <x:row r="9" ht="30.649999618530273" customHeight="1">
      <x:c r="A9" s="18" t="str">
        <x:v>Competitor</x:v>
      </x:c>
      <x:c r="B9" s="18" t="str">
        <x:v>Current Campaigns</x:v>
      </x:c>
      <x:c r="C9" s="18" t="str">
        <x:v>Active &gt;30d</x:v>
      </x:c>
      <x:c r="D9" s="18" t="str">
        <x:v>End Date Not Stated</x:v>
      </x:c>
      <x:c r="E9" s="18" t="str">
        <x:v>Expiring ≤7d</x:v>
      </x:c>
      <x:c r="F9" s="18" t="str">
        <x:v>Expiring 8–30d</x:v>
      </x:c>
      <x:c r="G9" s="18" t="str">
        <x:v>Remittance</x:v>
      </x:c>
      <x:c r="H9" s="19" t="str">
        <x:v>Musaned</x:v>
      </x:c>
      <x:c r="I9" s="18" t="str">
        <x:v>SADAD</x:v>
      </x:c>
      <x:c r="J9" s="18" t="str">
        <x:v>Card</x:v>
      </x:c>
      <x:c r="K9" s="18" t="str">
        <x:v>Engagement</x:v>
      </x:c>
      <x:c r="L9" s="18" t="str">
        <x:v>Other</x:v>
      </x:c>
      <x:c r="M9" s="18" t="str">
        <x:v>Social Posts (14d)</x:v>
      </x:c>
    </x:row>
    <x:row r="10" ht="28" customHeight="1">
      <x:c r="A10" s="2" t="str">
        <x:v>STC Bank</x:v>
      </x:c>
      <x:c r="B10" s="2" t="n">
        <x:f>COUNTIFS('STC Bank'!$C$9:$C$500,"&lt;&gt;",'STC Bank'!$M$9:$M$500,"&lt;&gt;")</x:f>
        <x:v>16</x:v>
      </x:c>
      <x:c r="C10" s="2" t="n">
        <x:f>COUNTIFS('STC Bank'!$C$9:$C$500,"&lt;&gt;",'STC Bank'!$I$9:$I$500,"Active")</x:f>
        <x:v>8</x:v>
      </x:c>
      <x:c r="D10" s="2" t="n">
        <x:f>COUNTIFS('STC Bank'!$C$9:$C$500,"&lt;&gt;",'STC Bank'!$I$9:$I$500,"End Date Not Stated")</x:f>
        <x:v>1</x:v>
      </x:c>
      <x:c r="E10" s="2" t="n">
        <x:f>COUNTIFS('STC Bank'!$C$9:$C$500,"&lt;&gt;",'STC Bank'!$I$9:$I$500,"Expiring ≤7 Days")</x:f>
        <x:v>1</x:v>
      </x:c>
      <x:c r="F10" s="2" t="n">
        <x:f>COUNTIFS('STC Bank'!$C$9:$C$500,"&lt;&gt;",'STC Bank'!$I$9:$I$500,"Expiring 8–30 Days")</x:f>
        <x:v>1</x:v>
      </x:c>
      <x:c r="G10" s="2" t="n">
        <x:f>COUNTIFS('STC Bank'!$C$9:$C$500,"&lt;&gt;",'STC Bank'!$B$9:$B$500,"Remittance")</x:f>
        <x:v>0</x:v>
      </x:c>
      <x:c r="H10" s="20" t="n">
        <x:f>COUNTIFS('STC Bank'!$C$9:$C$500,"&lt;&gt;",'STC Bank'!$B$9:$B$500,"Musaned")</x:f>
        <x:v>0</x:v>
      </x:c>
      <x:c r="I10" s="2" t="n">
        <x:f>COUNTIFS('STC Bank'!$C$9:$C$500,"&lt;&gt;",'STC Bank'!$B$9:$B$500,"SADAD")</x:f>
        <x:v>0</x:v>
      </x:c>
      <x:c r="J10" s="2" t="n">
        <x:f>COUNTIFS('STC Bank'!$C$9:$C$500,"&lt;&gt;",'STC Bank'!$B$9:$B$500,"Card")</x:f>
        <x:v>5</x:v>
      </x:c>
      <x:c r="K10" s="2" t="n">
        <x:f>COUNTIFS('STC Bank'!$C$9:$C$500,"&lt;&gt;",'STC Bank'!$B$9:$B$500,"Engagement")</x:f>
        <x:v>1</x:v>
      </x:c>
      <x:c r="L10" s="2" t="n">
        <x:f>COUNTIFS('STC Bank'!$C$9:$C$500,"&lt;&gt;",'STC Bank'!$B$9:$B$500,"Other")</x:f>
        <x:v>0</x:v>
      </x:c>
      <x:c r="M10" s="2" t="n">
        <x:f>F54</x:f>
        <x:v>0</x:v>
      </x:c>
    </x:row>
    <x:row r="11" ht="28" customHeight="1">
      <x:c r="A11" s="2" t="str">
        <x:v>barq</x:v>
      </x:c>
      <x:c r="B11" s="2" t="n">
        <x:f>COUNTIFS('barq'!$C$9:$C$500,"&lt;&gt;",'barq'!$M$9:$M$500,"&lt;&gt;")</x:f>
        <x:v>6</x:v>
      </x:c>
      <x:c r="C11" s="2" t="n">
        <x:f>COUNTIFS('barq'!$C$9:$C$500,"&lt;&gt;",'barq'!$I$9:$I$500,"Active")</x:f>
        <x:v>0</x:v>
      </x:c>
      <x:c r="D11" s="2" t="n">
        <x:f>COUNTIFS('barq'!$C$9:$C$500,"&lt;&gt;",'barq'!$I$9:$I$500,"End Date Not Stated")</x:f>
        <x:v>6</x:v>
      </x:c>
      <x:c r="E11" s="2" t="n">
        <x:f>COUNTIFS('barq'!$C$9:$C$500,"&lt;&gt;",'barq'!$I$9:$I$500,"Expiring ≤7 Days")</x:f>
        <x:v>0</x:v>
      </x:c>
      <x:c r="F11" s="2" t="n">
        <x:f>COUNTIFS('barq'!$C$9:$C$500,"&lt;&gt;",'barq'!$I$9:$I$500,"Expiring 8–30 Days")</x:f>
        <x:v>0</x:v>
      </x:c>
      <x:c r="G11" s="2" t="n">
        <x:f>COUNTIFS('barq'!$C$9:$C$500,"&lt;&gt;",'barq'!$B$9:$B$500,"Remittance")</x:f>
        <x:v>2</x:v>
      </x:c>
      <x:c r="H11" s="20" t="n">
        <x:f>COUNTIFS('barq'!$C$9:$C$500,"&lt;&gt;",'barq'!$B$9:$B$500,"Musaned")</x:f>
        <x:v>0</x:v>
      </x:c>
      <x:c r="I11" s="2" t="n">
        <x:f>COUNTIFS('barq'!$C$9:$C$500,"&lt;&gt;",'barq'!$B$9:$B$500,"SADAD")</x:f>
        <x:v>0</x:v>
      </x:c>
      <x:c r="J11" s="2" t="n">
        <x:f>COUNTIFS('barq'!$C$9:$C$500,"&lt;&gt;",'barq'!$B$9:$B$500,"Card")</x:f>
        <x:v>1</x:v>
      </x:c>
      <x:c r="K11" s="2" t="n">
        <x:f>COUNTIFS('barq'!$C$9:$C$500,"&lt;&gt;",'barq'!$B$9:$B$500,"Engagement")</x:f>
        <x:v>2</x:v>
      </x:c>
      <x:c r="L11" s="2" t="n">
        <x:f>COUNTIFS('barq'!$C$9:$C$500,"&lt;&gt;",'barq'!$B$9:$B$500,"Other")</x:f>
        <x:v>0</x:v>
      </x:c>
      <x:c r="M11" s="2" t="n">
        <x:f>F55</x:f>
        <x:v>0</x:v>
      </x:c>
    </x:row>
    <x:row r="12" ht="28" customHeight="1">
      <x:c r="A12" s="2" t="str">
        <x:v>Mobily Pay</x:v>
      </x:c>
      <x:c r="B12" s="2" t="n">
        <x:f>COUNTIFS('Mobily Pay'!$C$9:$C$500,"&lt;&gt;",'Mobily Pay'!$M$9:$M$500,"&lt;&gt;")</x:f>
        <x:v>6</x:v>
      </x:c>
      <x:c r="C12" s="2" t="n">
        <x:f>COUNTIFS('Mobily Pay'!$C$9:$C$500,"&lt;&gt;",'Mobily Pay'!$I$9:$I$500,"Active")</x:f>
        <x:v>2</x:v>
      </x:c>
      <x:c r="D12" s="2" t="n">
        <x:f>COUNTIFS('Mobily Pay'!$C$9:$C$500,"&lt;&gt;",'Mobily Pay'!$I$9:$I$500,"End Date Not Stated")</x:f>
        <x:v>1</x:v>
      </x:c>
      <x:c r="E12" s="2" t="n">
        <x:f>COUNTIFS('Mobily Pay'!$C$9:$C$500,"&lt;&gt;",'Mobily Pay'!$I$9:$I$500,"Expiring ≤7 Days")</x:f>
        <x:v>0</x:v>
      </x:c>
      <x:c r="F12" s="2" t="n">
        <x:f>COUNTIFS('Mobily Pay'!$C$9:$C$500,"&lt;&gt;",'Mobily Pay'!$I$9:$I$500,"Expiring 8–30 Days")</x:f>
        <x:v>0</x:v>
      </x:c>
      <x:c r="G12" s="2" t="n">
        <x:f>COUNTIFS('Mobily Pay'!$C$9:$C$500,"&lt;&gt;",'Mobily Pay'!$B$9:$B$500,"Remittance")</x:f>
        <x:v>3</x:v>
      </x:c>
      <x:c r="H12" s="20" t="n">
        <x:f>COUNTIFS('Mobily Pay'!$C$9:$C$500,"&lt;&gt;",'Mobily Pay'!$B$9:$B$500,"Musaned")</x:f>
        <x:v>0</x:v>
      </x:c>
      <x:c r="I12" s="2" t="n">
        <x:f>COUNTIFS('Mobily Pay'!$C$9:$C$500,"&lt;&gt;",'Mobily Pay'!$B$9:$B$500,"SADAD")</x:f>
        <x:v>0</x:v>
      </x:c>
      <x:c r="J12" s="2" t="n">
        <x:f>COUNTIFS('Mobily Pay'!$C$9:$C$500,"&lt;&gt;",'Mobily Pay'!$B$9:$B$500,"Card")</x:f>
        <x:v>1</x:v>
      </x:c>
      <x:c r="K12" s="2" t="n">
        <x:f>COUNTIFS('Mobily Pay'!$C$9:$C$500,"&lt;&gt;",'Mobily Pay'!$B$9:$B$500,"Engagement")</x:f>
        <x:v>0</x:v>
      </x:c>
      <x:c r="L12" s="2" t="n">
        <x:f>COUNTIFS('Mobily Pay'!$C$9:$C$500,"&lt;&gt;",'Mobily Pay'!$B$9:$B$500,"Other")</x:f>
        <x:v>1</x:v>
      </x:c>
      <x:c r="M12" s="2" t="n">
        <x:f>F56</x:f>
        <x:v>0</x:v>
      </x:c>
    </x:row>
    <x:row r="13" ht="28" customHeight="1">
      <x:c r="A13" s="2" t="str">
        <x:v>tiqmo</x:v>
      </x:c>
      <x:c r="B13" s="2" t="n">
        <x:f>COUNTIFS('tiqmo'!$C$9:$C$500,"&lt;&gt;",'tiqmo'!$M$9:$M$500,"&lt;&gt;")</x:f>
        <x:v>6</x:v>
      </x:c>
      <x:c r="C13" s="2" t="n">
        <x:f>COUNTIFS('tiqmo'!$C$9:$C$500,"&lt;&gt;",'tiqmo'!$I$9:$I$500,"Active")</x:f>
        <x:v>1</x:v>
      </x:c>
      <x:c r="D13" s="2" t="n">
        <x:f>COUNTIFS('tiqmo'!$C$9:$C$500,"&lt;&gt;",'tiqmo'!$I$9:$I$500,"End Date Not Stated")</x:f>
        <x:v>2</x:v>
      </x:c>
      <x:c r="E13" s="2" t="n">
        <x:f>COUNTIFS('tiqmo'!$C$9:$C$500,"&lt;&gt;",'tiqmo'!$I$9:$I$500,"Expiring ≤7 Days")</x:f>
        <x:v>0</x:v>
      </x:c>
      <x:c r="F13" s="2" t="n">
        <x:f>COUNTIFS('tiqmo'!$C$9:$C$500,"&lt;&gt;",'tiqmo'!$I$9:$I$500,"Expiring 8–30 Days")</x:f>
        <x:v>0</x:v>
      </x:c>
      <x:c r="G13" s="2" t="n">
        <x:f>COUNTIFS('tiqmo'!$C$9:$C$500,"&lt;&gt;",'tiqmo'!$B$9:$B$500,"Remittance")</x:f>
        <x:v>2</x:v>
      </x:c>
      <x:c r="H13" s="20" t="n">
        <x:f>COUNTIFS('tiqmo'!$C$9:$C$500,"&lt;&gt;",'tiqmo'!$B$9:$B$500,"Musaned")</x:f>
        <x:v>0</x:v>
      </x:c>
      <x:c r="I13" s="2" t="n">
        <x:f>COUNTIFS('tiqmo'!$C$9:$C$500,"&lt;&gt;",'tiqmo'!$B$9:$B$500,"SADAD")</x:f>
        <x:v>1</x:v>
      </x:c>
      <x:c r="J13" s="2" t="n">
        <x:f>COUNTIFS('tiqmo'!$C$9:$C$500,"&lt;&gt;",'tiqmo'!$B$9:$B$500,"Card")</x:f>
        <x:v>2</x:v>
      </x:c>
      <x:c r="K13" s="2" t="n">
        <x:f>COUNTIFS('tiqmo'!$C$9:$C$500,"&lt;&gt;",'tiqmo'!$B$9:$B$500,"Engagement")</x:f>
        <x:v>0</x:v>
      </x:c>
      <x:c r="L13" s="2" t="n">
        <x:f>COUNTIFS('tiqmo'!$C$9:$C$500,"&lt;&gt;",'tiqmo'!$B$9:$B$500,"Other")</x:f>
        <x:v>0</x:v>
      </x:c>
      <x:c r="M13" s="2" t="n">
        <x:f>F57</x:f>
        <x:v>0</x:v>
      </x:c>
    </x:row>
    <x:row r="14" ht="28" customHeight="1">
      <x:c r="A14" s="2" t="str">
        <x:v>urpay</x:v>
      </x:c>
      <x:c r="B14" s="2" t="n">
        <x:f>COUNTIFS('urpay'!$C$9:$C$500,"&lt;&gt;",'urpay'!$M$9:$M$500,"&lt;&gt;")</x:f>
        <x:v>9</x:v>
      </x:c>
      <x:c r="C14" s="2" t="n">
        <x:f>COUNTIFS('urpay'!$C$9:$C$500,"&lt;&gt;",'urpay'!$I$9:$I$500,"Active")</x:f>
        <x:v>5</x:v>
      </x:c>
      <x:c r="D14" s="2" t="n">
        <x:f>COUNTIFS('urpay'!$C$9:$C$500,"&lt;&gt;",'urpay'!$I$9:$I$500,"End Date Not Stated")</x:f>
        <x:v>3</x:v>
      </x:c>
      <x:c r="E14" s="2" t="n">
        <x:f>COUNTIFS('urpay'!$C$9:$C$500,"&lt;&gt;",'urpay'!$I$9:$I$500,"Expiring ≤7 Days")</x:f>
        <x:v>0</x:v>
      </x:c>
      <x:c r="F14" s="2" t="n">
        <x:f>COUNTIFS('urpay'!$C$9:$C$500,"&lt;&gt;",'urpay'!$I$9:$I$500,"Expiring 8–30 Days")</x:f>
        <x:v>0</x:v>
      </x:c>
      <x:c r="G14" s="2" t="n">
        <x:f>COUNTIFS('urpay'!$C$9:$C$500,"&lt;&gt;",'urpay'!$B$9:$B$500,"Remittance")</x:f>
        <x:v>1</x:v>
      </x:c>
      <x:c r="H14" s="20" t="n">
        <x:f>COUNTIFS('urpay'!$C$9:$C$500,"&lt;&gt;",'urpay'!$B$9:$B$500,"Musaned")</x:f>
        <x:v>1</x:v>
      </x:c>
      <x:c r="I14" s="2" t="n">
        <x:f>COUNTIFS('urpay'!$C$9:$C$500,"&lt;&gt;",'urpay'!$B$9:$B$500,"SADAD")</x:f>
        <x:v>0</x:v>
      </x:c>
      <x:c r="J14" s="2" t="n">
        <x:f>COUNTIFS('urpay'!$C$9:$C$500,"&lt;&gt;",'urpay'!$B$9:$B$500,"Card")</x:f>
        <x:v>1</x:v>
      </x:c>
      <x:c r="K14" s="2" t="n">
        <x:f>COUNTIFS('urpay'!$C$9:$C$500,"&lt;&gt;",'urpay'!$B$9:$B$500,"Engagement")</x:f>
        <x:v>0</x:v>
      </x:c>
      <x:c r="L14" s="2" t="n">
        <x:f>COUNTIFS('urpay'!$C$9:$C$500,"&lt;&gt;",'urpay'!$B$9:$B$500,"Other")</x:f>
        <x:v>0</x:v>
      </x:c>
      <x:c r="M14" s="2" t="n">
        <x:f>F58</x:f>
        <x:v>0</x:v>
      </x:c>
    </x:row>
    <x:row r="15" ht="28" customHeight="1">
      <x:c r="A15" s="2" t="str">
        <x:v>alinma pay</x:v>
      </x:c>
      <x:c r="B15" s="2" t="n">
        <x:f>COUNTIFS('alinma pay'!$C$9:$C$500,"&lt;&gt;",'alinma pay'!$M$9:$M$500,"&lt;&gt;")</x:f>
        <x:v>5</x:v>
      </x:c>
      <x:c r="C15" s="2" t="n">
        <x:f>COUNTIFS('alinma pay'!$C$9:$C$500,"&lt;&gt;",'alinma pay'!$I$9:$I$500,"Active")</x:f>
        <x:v>0</x:v>
      </x:c>
      <x:c r="D15" s="2" t="n">
        <x:f>COUNTIFS('alinma pay'!$C$9:$C$500,"&lt;&gt;",'alinma pay'!$I$9:$I$500,"End Date Not Stated")</x:f>
        <x:v>4</x:v>
      </x:c>
      <x:c r="E15" s="2" t="n">
        <x:f>COUNTIFS('alinma pay'!$C$9:$C$500,"&lt;&gt;",'alinma pay'!$I$9:$I$500,"Expiring ≤7 Days")</x:f>
        <x:v>0</x:v>
      </x:c>
      <x:c r="F15" s="2" t="n">
        <x:f>COUNTIFS('alinma pay'!$C$9:$C$500,"&lt;&gt;",'alinma pay'!$I$9:$I$500,"Expiring 8–30 Days")</x:f>
        <x:v>0</x:v>
      </x:c>
      <x:c r="G15" s="2" t="n">
        <x:f>COUNTIFS('alinma pay'!$C$9:$C$500,"&lt;&gt;",'alinma pay'!$B$9:$B$500,"Remittance")</x:f>
        <x:v>2</x:v>
      </x:c>
      <x:c r="H15" s="20" t="n">
        <x:f>COUNTIFS('alinma pay'!$C$9:$C$500,"&lt;&gt;",'alinma pay'!$B$9:$B$500,"Musaned")</x:f>
        <x:v>1</x:v>
      </x:c>
      <x:c r="I15" s="2" t="n">
        <x:f>COUNTIFS('alinma pay'!$C$9:$C$500,"&lt;&gt;",'alinma pay'!$B$9:$B$500,"SADAD")</x:f>
        <x:v>0</x:v>
      </x:c>
      <x:c r="J15" s="2" t="n">
        <x:f>COUNTIFS('alinma pay'!$C$9:$C$500,"&lt;&gt;",'alinma pay'!$B$9:$B$500,"Card")</x:f>
        <x:v>2</x:v>
      </x:c>
      <x:c r="K15" s="2" t="n">
        <x:f>COUNTIFS('alinma pay'!$C$9:$C$500,"&lt;&gt;",'alinma pay'!$B$9:$B$500,"Engagement")</x:f>
        <x:v>0</x:v>
      </x:c>
      <x:c r="L15" s="2" t="n">
        <x:f>COUNTIFS('alinma pay'!$C$9:$C$500,"&lt;&gt;",'alinma pay'!$B$9:$B$500,"Other")</x:f>
        <x:v>0</x:v>
      </x:c>
      <x:c r="M15" s="2" t="n">
        <x:f>F59</x:f>
        <x:v>0</x:v>
      </x:c>
    </x:row>
    <x:row r="18" ht="16.5">
      <x:c r="A18" s="45" t="str">
        <x:v>Active Campaign Count by Category — Merchant Offers Excluded</x:v>
      </x:c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X18" s="30" t="str">
        <x:v>Campaign Category</x:v>
      </x:c>
      <x:c r="Y18" s="30" t="str">
        <x:v>Market Count</x:v>
      </x:c>
    </x:row>
    <x:row r="19">
      <x:c r="X19" s="30" t="str">
        <x:f>B20</x:f>
        <x:v>Remittance</x:v>
      </x:c>
      <x:c r="Y19" s="30" t="n">
        <x:f>B27</x:f>
        <x:v>10</x:v>
      </x:c>
    </x:row>
    <x:row r="20" ht="26.649999618530273" customHeight="1">
      <x:c r="A20" s="22" t="str">
        <x:v>Competitor</x:v>
      </x:c>
      <x:c r="B20" s="19" t="str">
        <x:v>Remittance</x:v>
      </x:c>
      <x:c r="C20" s="22" t="str">
        <x:v>Musaned</x:v>
      </x:c>
      <x:c r="D20" s="22" t="str">
        <x:v>SADAD</x:v>
      </x:c>
      <x:c r="E20" s="22" t="str">
        <x:v>Card</x:v>
      </x:c>
      <x:c r="F20" s="22" t="str">
        <x:v>Engagement</x:v>
      </x:c>
      <x:c r="G20" s="22" t="str">
        <x:v>Other</x:v>
      </x:c>
      <x:c r="X20" s="30" t="str">
        <x:f>C20</x:f>
        <x:v>Musaned</x:v>
      </x:c>
      <x:c r="Y20" s="30" t="n">
        <x:f>C27</x:f>
        <x:v>2</x:v>
      </x:c>
    </x:row>
    <x:row r="21">
      <x:c r="A21" s="25" t="str">
        <x:v>STC Bank</x:v>
      </x:c>
      <x:c r="B21" s="24" t="n">
        <x:f>G10</x:f>
        <x:v>0</x:v>
      </x:c>
      <x:c r="C21" s="25" t="n">
        <x:f>H10</x:f>
        <x:v>0</x:v>
      </x:c>
      <x:c r="D21" s="25" t="n">
        <x:f>I10</x:f>
        <x:v>0</x:v>
      </x:c>
      <x:c r="E21" s="25" t="n">
        <x:f>J10</x:f>
        <x:v>5</x:v>
      </x:c>
      <x:c r="F21" s="25" t="n">
        <x:f>K10</x:f>
        <x:v>1</x:v>
      </x:c>
      <x:c r="G21" s="25" t="n">
        <x:f>L10</x:f>
        <x:v>0</x:v>
      </x:c>
      <x:c r="X21" s="30" t="str">
        <x:f>D20</x:f>
        <x:v>SADAD</x:v>
      </x:c>
      <x:c r="Y21" s="30" t="n">
        <x:f>D27</x:f>
        <x:v>1</x:v>
      </x:c>
    </x:row>
    <x:row r="22">
      <x:c r="A22" s="25" t="str">
        <x:v>barq</x:v>
      </x:c>
      <x:c r="B22" s="24" t="n">
        <x:f>G11</x:f>
        <x:v>2</x:v>
      </x:c>
      <x:c r="C22" s="25" t="n">
        <x:f>H11</x:f>
        <x:v>0</x:v>
      </x:c>
      <x:c r="D22" s="25" t="n">
        <x:f>I11</x:f>
        <x:v>0</x:v>
      </x:c>
      <x:c r="E22" s="25" t="n">
        <x:f>J11</x:f>
        <x:v>1</x:v>
      </x:c>
      <x:c r="F22" s="25" t="n">
        <x:f>K11</x:f>
        <x:v>2</x:v>
      </x:c>
      <x:c r="G22" s="25" t="n">
        <x:f>L11</x:f>
        <x:v>0</x:v>
      </x:c>
      <x:c r="X22" s="30" t="str">
        <x:f>E20</x:f>
        <x:v>Card</x:v>
      </x:c>
      <x:c r="Y22" s="30" t="n">
        <x:f>E27</x:f>
        <x:v>12</x:v>
      </x:c>
    </x:row>
    <x:row r="23">
      <x:c r="A23" s="25" t="str">
        <x:v>Mobily Pay</x:v>
      </x:c>
      <x:c r="B23" s="24" t="n">
        <x:f>G12</x:f>
        <x:v>3</x:v>
      </x:c>
      <x:c r="C23" s="25" t="n">
        <x:f>H12</x:f>
        <x:v>0</x:v>
      </x:c>
      <x:c r="D23" s="25" t="n">
        <x:f>I12</x:f>
        <x:v>0</x:v>
      </x:c>
      <x:c r="E23" s="25" t="n">
        <x:f>J12</x:f>
        <x:v>1</x:v>
      </x:c>
      <x:c r="F23" s="25" t="n">
        <x:f>K12</x:f>
        <x:v>0</x:v>
      </x:c>
      <x:c r="G23" s="25" t="n">
        <x:f>L12</x:f>
        <x:v>1</x:v>
      </x:c>
      <x:c r="X23" s="30" t="str">
        <x:f>F20</x:f>
        <x:v>Engagement</x:v>
      </x:c>
      <x:c r="Y23" s="30" t="n">
        <x:f>F27</x:f>
        <x:v>3</x:v>
      </x:c>
    </x:row>
    <x:row r="24">
      <x:c r="A24" s="25" t="str">
        <x:v>tiqmo</x:v>
      </x:c>
      <x:c r="B24" s="24" t="n">
        <x:f>G13</x:f>
        <x:v>2</x:v>
      </x:c>
      <x:c r="C24" s="25" t="n">
        <x:f>H13</x:f>
        <x:v>0</x:v>
      </x:c>
      <x:c r="D24" s="25" t="n">
        <x:f>I13</x:f>
        <x:v>1</x:v>
      </x:c>
      <x:c r="E24" s="25" t="n">
        <x:f>J13</x:f>
        <x:v>2</x:v>
      </x:c>
      <x:c r="F24" s="25" t="n">
        <x:f>K13</x:f>
        <x:v>0</x:v>
      </x:c>
      <x:c r="G24" s="25" t="n">
        <x:f>L13</x:f>
        <x:v>0</x:v>
      </x:c>
      <x:c r="X24" s="30" t="str">
        <x:f>G20</x:f>
        <x:v>Other</x:v>
      </x:c>
      <x:c r="Y24" s="30" t="n">
        <x:f>G27</x:f>
        <x:v>1</x:v>
      </x:c>
    </x:row>
    <x:row r="25">
      <x:c r="A25" s="25" t="str">
        <x:v>urpay</x:v>
      </x:c>
      <x:c r="B25" s="24" t="n">
        <x:f>G14</x:f>
        <x:v>1</x:v>
      </x:c>
      <x:c r="C25" s="25" t="n">
        <x:f>H14</x:f>
        <x:v>1</x:v>
      </x:c>
      <x:c r="D25" s="25" t="n">
        <x:f>I14</x:f>
        <x:v>0</x:v>
      </x:c>
      <x:c r="E25" s="25" t="n">
        <x:f>J14</x:f>
        <x:v>1</x:v>
      </x:c>
      <x:c r="F25" s="25" t="n">
        <x:f>K14</x:f>
        <x:v>0</x:v>
      </x:c>
      <x:c r="G25" s="25" t="n">
        <x:f>L14</x:f>
        <x:v>0</x:v>
      </x:c>
      <x:c r="X25" s="30"/>
      <x:c r="Y25" s="30"/>
    </x:row>
    <x:row r="26">
      <x:c r="A26" s="25" t="str">
        <x:v>alinma pay</x:v>
      </x:c>
      <x:c r="B26" s="24" t="n">
        <x:f>G15</x:f>
        <x:v>2</x:v>
      </x:c>
      <x:c r="C26" s="25" t="n">
        <x:f>H15</x:f>
        <x:v>1</x:v>
      </x:c>
      <x:c r="D26" s="25" t="n">
        <x:f>I15</x:f>
        <x:v>0</x:v>
      </x:c>
      <x:c r="E26" s="25" t="n">
        <x:f>J15</x:f>
        <x:v>2</x:v>
      </x:c>
      <x:c r="F26" s="25" t="n">
        <x:f>K15</x:f>
        <x:v>0</x:v>
      </x:c>
      <x:c r="G26" s="25" t="n">
        <x:f>L15</x:f>
        <x:v>0</x:v>
      </x:c>
      <x:c r="X26" s="30"/>
      <x:c r="Y26" s="30"/>
    </x:row>
    <x:row r="27">
      <x:c r="A27" s="23" t="str">
        <x:v>Market Total</x:v>
      </x:c>
      <x:c r="B27" s="24" t="n">
        <x:f t="shared" ref="B27:G27" si="0">SUM(B21:B26)</x:f>
        <x:v>10</x:v>
      </x:c>
      <x:c r="C27" s="23" t="n">
        <x:f t="shared" si="0">SUM(C21:C26)</x:f>
        <x:v>2</x:v>
      </x:c>
      <x:c r="D27" s="23" t="n">
        <x:f t="shared" si="0">SUM(D21:D26)</x:f>
        <x:v>1</x:v>
      </x:c>
      <x:c r="E27" s="23" t="n">
        <x:f t="shared" si="0">SUM(E21:E26)</x:f>
        <x:v>12</x:v>
      </x:c>
      <x:c r="F27" s="23" t="n">
        <x:f t="shared" si="0">SUM(F21:F26)</x:f>
        <x:v>3</x:v>
      </x:c>
      <x:c r="G27" s="23" t="n">
        <x:f t="shared" si="0">SUM(G21:G26)</x:f>
        <x:v>1</x:v>
      </x:c>
      <x:c r="X27" s="30"/>
      <x:c r="Y27" s="30"/>
    </x:row>
    <x:row r="28">
      <x:c r="X28" s="30"/>
      <x:c r="Y28" s="30"/>
    </x:row>
    <x:row r="29">
      <x:c r="X29" s="30"/>
      <x:c r="Y29" s="30"/>
    </x:row>
    <x:row r="30" ht="16.5">
      <x:c r="A30" s="46" t="str">
        <x:v>Active Remittance Campaigns by Competitor</x:v>
      </x:c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X30" s="30" t="str">
        <x:v>Competitor</x:v>
      </x:c>
      <x:c r="Y30" s="30" t="str">
        <x:v>Remittance Campaigns</x:v>
      </x:c>
    </x:row>
    <x:row r="31" ht="20" customHeight="1">
      <x:c r="X31" s="30" t="str">
        <x:f t="shared" ref="X31:X36" si="1">A10</x:f>
        <x:v>STC Bank</x:v>
      </x:c>
      <x:c r="Y31" s="30" t="n">
        <x:f>G10</x:f>
        <x:v>0</x:v>
      </x:c>
    </x:row>
    <x:row r="32" ht="22.649999618530273" customHeight="1">
      <x:c r="A32" s="31" t="str">
        <x:v>Competitor</x:v>
      </x:c>
      <x:c r="B32" s="31" t="str">
        <x:v>Remittance Campaigns</x:v>
      </x:c>
      <x:c r="C32" s="31" t="str">
        <x:v>Share of Current Campaigns</x:v>
      </x:c>
      <x:c r="D32" s="31"/>
      <x:c r="E32" s="31"/>
      <x:c r="X32" s="30" t="str">
        <x:f t="shared" si="1"/>
        <x:v>barq</x:v>
      </x:c>
      <x:c r="Y32" s="30" t="n">
        <x:f>G11</x:f>
        <x:v>2</x:v>
      </x:c>
    </x:row>
    <x:row r="33" ht="17.399999618530273" customHeight="1">
      <x:c r="A33" s="32" t="str">
        <x:v>STC Bank</x:v>
      </x:c>
      <x:c r="B33" s="32" t="n">
        <x:f>G10</x:f>
        <x:v>0</x:v>
      </x:c>
      <x:c r="C33" s="128" t="n">
        <x:f>IFERROR(B33/B10,0)</x:f>
        <x:v>0</x:v>
      </x:c>
      <x:c r="D33" s="32"/>
      <x:c r="E33" s="32"/>
      <x:c r="X33" s="30" t="str">
        <x:f t="shared" si="1"/>
        <x:v>Mobily Pay</x:v>
      </x:c>
      <x:c r="Y33" s="30" t="n">
        <x:f>G12</x:f>
        <x:v>3</x:v>
      </x:c>
    </x:row>
    <x:row r="34" ht="17.399999618530273" customHeight="1">
      <x:c r="A34" s="32" t="str">
        <x:v>barq</x:v>
      </x:c>
      <x:c r="B34" s="32" t="n">
        <x:f>G11</x:f>
        <x:v>2</x:v>
      </x:c>
      <x:c r="C34" s="128" t="n">
        <x:f>IFERROR(B34/B11,0)</x:f>
        <x:v>0.3333333333333333</x:v>
      </x:c>
      <x:c r="D34" s="32"/>
      <x:c r="E34" s="32"/>
      <x:c r="X34" s="30" t="str">
        <x:f t="shared" si="1"/>
        <x:v>tiqmo</x:v>
      </x:c>
      <x:c r="Y34" s="30" t="n">
        <x:f>G13</x:f>
        <x:v>2</x:v>
      </x:c>
    </x:row>
    <x:row r="35" ht="17.399999618530273" customHeight="1">
      <x:c r="A35" s="32" t="str">
        <x:v>Mobily Pay</x:v>
      </x:c>
      <x:c r="B35" s="32" t="n">
        <x:f>G12</x:f>
        <x:v>3</x:v>
      </x:c>
      <x:c r="C35" s="128" t="n">
        <x:f>IFERROR(B35/B12,0)</x:f>
        <x:v>0.5</x:v>
      </x:c>
      <x:c r="D35" s="32"/>
      <x:c r="E35" s="32"/>
      <x:c r="X35" s="30" t="str">
        <x:f t="shared" si="1"/>
        <x:v>urpay</x:v>
      </x:c>
      <x:c r="Y35" s="30" t="n">
        <x:f>G14</x:f>
        <x:v>1</x:v>
      </x:c>
    </x:row>
    <x:row r="36" ht="17.399999618530273" customHeight="1">
      <x:c r="A36" s="32" t="str">
        <x:v>tiqmo</x:v>
      </x:c>
      <x:c r="B36" s="32" t="n">
        <x:f>G13</x:f>
        <x:v>2</x:v>
      </x:c>
      <x:c r="C36" s="128" t="n">
        <x:f>IFERROR(B36/B13,0)</x:f>
        <x:v>0.3333333333333333</x:v>
      </x:c>
      <x:c r="D36" s="32"/>
      <x:c r="E36" s="32"/>
      <x:c r="X36" s="30" t="str">
        <x:f t="shared" si="1"/>
        <x:v>alinma pay</x:v>
      </x:c>
      <x:c r="Y36" s="30" t="n">
        <x:f>G15</x:f>
        <x:v>2</x:v>
      </x:c>
    </x:row>
    <x:row r="37" ht="17.399999618530273" customHeight="1">
      <x:c r="A37" s="32" t="str">
        <x:v>urpay</x:v>
      </x:c>
      <x:c r="B37" s="32" t="n">
        <x:f>G14</x:f>
        <x:v>1</x:v>
      </x:c>
      <x:c r="C37" s="128" t="n">
        <x:f>IFERROR(B37/B14,0)</x:f>
        <x:v>0.1111111111111111</x:v>
      </x:c>
      <x:c r="D37" s="32"/>
      <x:c r="E37" s="32"/>
    </x:row>
    <x:row r="38" ht="17.399999618530273" customHeight="1">
      <x:c r="A38" s="32" t="str">
        <x:v>alinma pay</x:v>
      </x:c>
      <x:c r="B38" s="32" t="n">
        <x:f>G15</x:f>
        <x:v>2</x:v>
      </x:c>
      <x:c r="C38" s="128" t="n">
        <x:f>IFERROR(B38/B15,0)</x:f>
        <x:v>0.4</x:v>
      </x:c>
      <x:c r="D38" s="32"/>
      <x:c r="E38" s="32"/>
    </x:row>
    <x:row r="39">
      <x:c r="A39" s="33" t="str">
        <x:v>Market Total</x:v>
      </x:c>
      <x:c r="B39" s="33" t="n">
        <x:f>SUM(B33:B38)</x:f>
        <x:v>10</x:v>
      </x:c>
      <x:c r="C39" s="129" t="n">
        <x:f>IFERROR(B39/SUM(B10:B15),0)</x:f>
        <x:v>0.20833333333333334</x:v>
      </x:c>
      <x:c r="D39" s="33"/>
      <x:c r="E39" s="33"/>
    </x:row>
    <x:row r="42" ht="16.5">
      <x:c r="A42" s="45" t="str">
        <x:v>Dynamic Management Signals</x:v>
      </x:c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3" ht="20.649999618530273" customHeight="1">
      <x:c r="A43" s="48" t="str">
        <x:v>Largest active campaign portfolio is refreshed automatically from the competitor sheets.</x:v>
      </x:c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</x:row>
    <x:row r="44" ht="20.649999618530273" customHeight="1">
      <x:c r="A44" s="49" t="str">
        <x:v>Remittance campaign totals and the market leader are recalculated on every export.</x:v>
      </x:c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5" ht="20.649999618530273" customHeight="1">
      <x:c r="A45" s="49" t="str">
        <x:v>Remittance share includes active approved campaigns only.</x:v>
      </x:c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</x:row>
    <x:row r="46" ht="20.649999618530273" customHeight="1">
      <x:c r="A46" s="50" t="str">
        <x:v>Social activity covers unique direct official posts published during the latest 14-day window.</x:v>
      </x:c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</x:row>
    <x:row r="47" ht="20.649999618530273" customHeight="1">
      <x:c r="A47" s="48" t="str">
        <x:v>Merchant offers are excluded from Dashboard KPIs and retained only as a count in each competitor sheet.</x:v>
      </x:c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</x:row>
    <x:row r="48" ht="20.649999618530273" customHeight="1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</x:row>
    <x:row r="51" ht="16.5">
      <x:c r="A51" s="47" t="str">
        <x:v>Social Media Activity — Last 14 Days</x:v>
      </x:c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</x:row>
    <x:row r="52" ht="20.649999618530273" customHeight="1"/>
    <x:row r="53" ht="28" customHeight="1">
      <x:c r="A53" s="36" t="str">
        <x:v>Competitor</x:v>
      </x:c>
      <x:c r="B53" s="36" t="str">
        <x:v>Instagram</x:v>
      </x:c>
      <x:c r="C53" s="36" t="str">
        <x:v>X</x:v>
      </x:c>
      <x:c r="D53" s="36" t="str">
        <x:v>Facebook</x:v>
      </x:c>
      <x:c r="E53" s="36" t="str">
        <x:v>TikTok</x:v>
      </x:c>
      <x:c r="F53" s="36" t="str">
        <x:v>Total Posts</x:v>
      </x:c>
    </x:row>
    <x:row r="54" ht="18.649999618530273" customHeight="1">
      <x:c r="A54" s="32" t="str">
        <x:v>STC Bank</x:v>
      </x:c>
      <x:c r="B54" s="32" t="n">
        <x:v>0</x:v>
      </x:c>
      <x:c r="C54" s="32" t="n">
        <x:v>0</x:v>
      </x:c>
      <x:c r="D54" s="32" t="n">
        <x:v>0</x:v>
      </x:c>
      <x:c r="E54" s="32" t="n">
        <x:v>0</x:v>
      </x:c>
      <x:c r="F54" s="32" t="n">
        <x:f>SUM(B54:E54)</x:f>
        <x:v>0</x:v>
      </x:c>
    </x:row>
    <x:row r="55" ht="18.649999618530273" customHeight="1">
      <x:c r="A55" s="32" t="str">
        <x:v>barq</x:v>
      </x:c>
      <x:c r="B55" s="32" t="n">
        <x:v>0</x:v>
      </x:c>
      <x:c r="C55" s="32" t="n">
        <x:v>0</x:v>
      </x:c>
      <x:c r="D55" s="32" t="n">
        <x:v>0</x:v>
      </x:c>
      <x:c r="E55" s="32" t="n">
        <x:v>0</x:v>
      </x:c>
      <x:c r="F55" s="32" t="n">
        <x:f>SUM(B55:E55)</x:f>
        <x:v>0</x:v>
      </x:c>
    </x:row>
    <x:row r="56" ht="18.649999618530273" customHeight="1">
      <x:c r="A56" s="32" t="str">
        <x:v>Mobily Pay</x:v>
      </x:c>
      <x:c r="B56" s="32" t="n">
        <x:v>0</x:v>
      </x:c>
      <x:c r="C56" s="32" t="n">
        <x:v>0</x:v>
      </x:c>
      <x:c r="D56" s="32" t="n">
        <x:v>0</x:v>
      </x:c>
      <x:c r="E56" s="32" t="n">
        <x:v>0</x:v>
      </x:c>
      <x:c r="F56" s="32" t="n">
        <x:f>SUM(B56:E56)</x:f>
        <x:v>0</x:v>
      </x:c>
    </x:row>
    <x:row r="57" ht="18.649999618530273" customHeight="1">
      <x:c r="A57" s="32" t="str">
        <x:v>tiqmo</x:v>
      </x:c>
      <x:c r="B57" s="32" t="n">
        <x:v>0</x:v>
      </x:c>
      <x:c r="C57" s="32" t="n">
        <x:v>0</x:v>
      </x:c>
      <x:c r="D57" s="32" t="n">
        <x:v>0</x:v>
      </x:c>
      <x:c r="E57" s="32" t="n">
        <x:v>0</x:v>
      </x:c>
      <x:c r="F57" s="32" t="n">
        <x:f>SUM(B57:E57)</x:f>
        <x:v>0</x:v>
      </x:c>
    </x:row>
    <x:row r="58" ht="18.649999618530273" customHeight="1">
      <x:c r="A58" s="32" t="str">
        <x:v>urpay</x:v>
      </x:c>
      <x:c r="B58" s="32" t="n">
        <x:v>0</x:v>
      </x:c>
      <x:c r="C58" s="32" t="n">
        <x:v>0</x:v>
      </x:c>
      <x:c r="D58" s="32" t="n">
        <x:v>0</x:v>
      </x:c>
      <x:c r="E58" s="32" t="n">
        <x:v>0</x:v>
      </x:c>
      <x:c r="F58" s="32" t="n">
        <x:f>SUM(B58:E58)</x:f>
        <x:v>0</x:v>
      </x:c>
    </x:row>
    <x:row r="59" ht="18.649999618530273" customHeight="1">
      <x:c r="A59" s="32" t="str">
        <x:v>alinma pay</x:v>
      </x:c>
      <x:c r="B59" s="32" t="n">
        <x:v>0</x:v>
      </x:c>
      <x:c r="C59" s="32" t="n">
        <x:v>0</x:v>
      </x:c>
      <x:c r="D59" s="32" t="n">
        <x:v>0</x:v>
      </x:c>
      <x:c r="E59" s="32" t="n">
        <x:v>0</x:v>
      </x:c>
      <x:c r="F59" s="32" t="n">
        <x:f>SUM(B59:E59)</x:f>
        <x:v>0</x:v>
      </x:c>
    </x:row>
    <x:row r="60">
      <x:c r="A60" s="37" t="str">
        <x:v>Market Total</x:v>
      </x:c>
      <x:c r="B60" s="37" t="n">
        <x:f t="shared" ref="B60:F60" si="2">SUM(B54:B59)</x:f>
        <x:v>0</x:v>
      </x:c>
      <x:c r="C60" s="37" t="n">
        <x:f t="shared" si="2">SUM(C54:C59)</x:f>
        <x:v>0</x:v>
      </x:c>
      <x:c r="D60" s="37" t="n">
        <x:f t="shared" si="2">SUM(D54:D59)</x:f>
        <x:v>0</x:v>
      </x:c>
      <x:c r="E60" s="37" t="n">
        <x:f t="shared" si="2">SUM(E54:E59)</x:f>
        <x:v>0</x:v>
      </x:c>
      <x:c r="F60" s="37" t="n">
        <x:f t="shared" si="2">SUM(F54:F59)</x:f>
        <x:v>0</x:v>
      </x:c>
    </x:row>
    <x:row r="63" ht="15.5">
      <x:c r="A63" s="51" t="str">
        <x:v>Reporting Convention and Rationale</x:v>
      </x:c>
      <x:c r="B63" s="51"/>
      <x:c r="C63" s="51"/>
      <x:c r="D63" s="51"/>
      <x:c r="E63" s="51"/>
      <x:c r="F63" s="51"/>
      <x:c r="G63" s="51"/>
      <x:c r="H63" s="51"/>
      <x:c r="I63" s="51"/>
      <x:c r="J63" s="51"/>
      <x:c r="K63" s="51"/>
      <x:c r="L63" s="51"/>
      <x:c r="M63" s="51"/>
      <x:c r="N63" s="51"/>
    </x:row>
    <x:row r="64" ht="22.649999618530273" customHeight="1">
      <x:c r="A64" s="50" t="str">
        <x:v>• Dashboard campaign KPIs include active approved campaigns only; expired campaigns are excluded.</x:v>
      </x:c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</x:row>
    <x:row r="65" ht="22.649999618530273" customHeight="1">
      <x:c r="A65" s="48" t="str">
        <x:v>• Merchant offers are excluded from Dashboard KPIs and appear only as a count in each competitor sheet.</x:v>
      </x:c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</x:row>
    <x:row r="66" ht="22.649999618530273" customHeight="1">
      <x:c r="A66" s="61" t="str">
        <x:v>• Social Media Activity counts unique direct official posts published within the latest 14-day window.</x:v>
      </x:c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</x:row>
    <x:row r="67" ht="22.649999618530273" customHeight="1">
      <x:c r="A67" s="49" t="str">
        <x:v>• Remittance is the priority target category and is highlighted in blue throughout the workbook.</x:v>
      </x:c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</x:row>
  </x:sheetData>
  <x:mergeCells>
    <x:mergeCell ref="A63:N63"/>
    <x:mergeCell ref="A64:N64"/>
    <x:mergeCell ref="A65:N65"/>
    <x:mergeCell ref="A66:N66"/>
    <x:mergeCell ref="A67:N67"/>
    <x:mergeCell ref="A18:N18"/>
    <x:mergeCell ref="A30:N30"/>
    <x:mergeCell ref="A51:N51"/>
    <x:mergeCell ref="A42:N42"/>
    <x:mergeCell ref="A43:N43"/>
    <x:mergeCell ref="A44:N44"/>
    <x:mergeCell ref="A45:N45"/>
    <x:mergeCell ref="A46:N46"/>
    <x:mergeCell ref="A47:N47"/>
    <x:mergeCell ref="A48:N48"/>
    <x:mergeCell ref="A1:N1"/>
    <x:mergeCell ref="A2:N2"/>
    <x:mergeCell ref="G3:N3"/>
    <x:mergeCell ref="I5:J5"/>
    <x:mergeCell ref="I6:J6"/>
  </x:mergeCells>
  <x:conditionalFormatting sqref="B33:E38">
    <x:cfRule type="dataBar" priority="8">
      <x:dataBar>
        <x:cfvo type="min"/>
        <x:cfvo type="max"/>
        <x:color rgb="FFD8A63C"/>
      </x:dataBar>
    </x:cfRule>
    <x:cfRule type="dataBar" priority="16">
      <x:dataBar>
        <x:cfvo type="min"/>
        <x:cfvo type="max"/>
        <x:color rgb="FFD8A63C"/>
      </x:dataBar>
      <x:extLst>
        <x:ext xmlns:x14="http://schemas.microsoft.com/office/spreadsheetml/2009/9/main" uri="{B025F937-C7B1-47D3-B67F-A62EFF666E3E}">
          <x14:id>{393A9956-EDB8-3D59-110D-A245EDF1BCA4}</x14:id>
        </x:ext>
      </x:extLst>
    </x:cfRule>
  </x:conditionalFormatting>
  <x:conditionalFormatting sqref="B42:F47">
    <x:cfRule type="dataBar" priority="3">
      <x:dataBar>
        <x:cfvo type="min"/>
        <x:cfvo type="max"/>
        <x:color rgb="FFD8A63C"/>
      </x:dataBar>
    </x:cfRule>
    <x:cfRule type="dataBar" priority="12">
      <x:dataBar>
        <x:cfvo type="min"/>
        <x:cfvo type="max"/>
        <x:color rgb="FFD8A63C"/>
      </x:dataBar>
      <x:extLst>
        <x:ext xmlns:x14="http://schemas.microsoft.com/office/spreadsheetml/2009/9/main" uri="{B025F937-C7B1-47D3-B67F-A62EFF666E3E}">
          <x14:id>{33DEE8FF-E98A-620E-12BF-369A28736917}</x14:id>
        </x:ext>
      </x:extLst>
    </x:cfRule>
  </x:conditionalFormatting>
  <x:conditionalFormatting sqref="B54:F59">
    <x:cfRule type="dataBar" priority="9">
      <x:dataBar>
        <x:cfvo type="min"/>
        <x:cfvo type="max"/>
        <x:color rgb="FF4E87B8"/>
      </x:dataBar>
    </x:cfRule>
    <x:cfRule type="dataBar" priority="17">
      <x:dataBar>
        <x:cfvo type="min"/>
        <x:cfvo type="max"/>
        <x:color rgb="FF4E87B8"/>
      </x:dataBar>
      <x:extLst>
        <x:ext xmlns:x14="http://schemas.microsoft.com/office/spreadsheetml/2009/9/main" uri="{B025F937-C7B1-47D3-B67F-A62EFF666E3E}">
          <x14:id>{0C67B701-4450-BBE9-1208-6DDE839C43C3}</x14:id>
        </x:ext>
      </x:extLst>
    </x:cfRule>
  </x:conditionalFormatting>
  <x:conditionalFormatting sqref="B21:G26">
    <x:cfRule type="colorScale" priority="7">
      <x:colorScale>
        <x:cfvo type="min"/>
        <x:cfvo type="percentile" val="50"/>
        <x:cfvo type="max"/>
        <x:color rgb="FFF3F5F6"/>
        <x:color rgb="FFFFE6A5"/>
        <x:color rgb="FF00A6A6"/>
      </x:colorScale>
    </x:cfRule>
  </x:conditionalFormatting>
  <x:conditionalFormatting sqref="B21:H26">
    <x:cfRule type="colorScale" priority="2">
      <x:colorScale>
        <x:cfvo type="min"/>
        <x:cfvo type="percentile" val="50"/>
        <x:cfvo type="max"/>
        <x:color rgb="FFF3F5F6"/>
        <x:color rgb="FFFFE6A5"/>
        <x:color rgb="FF00A6A6"/>
      </x:colorScale>
    </x:cfRule>
  </x:conditionalFormatting>
  <x:conditionalFormatting sqref="H10:H15">
    <x:cfRule type="dataBar" priority="5">
      <x:dataBar>
        <x:cfvo type="min"/>
        <x:cfvo type="max"/>
        <x:color rgb="FF1F4E78"/>
      </x:dataBar>
    </x:cfRule>
    <x:cfRule type="dataBar" priority="14">
      <x:dataBar>
        <x:cfvo type="min"/>
        <x:cfvo type="max"/>
        <x:color rgb="FF1F4E78"/>
      </x:dataBar>
      <x:extLst>
        <x:ext xmlns:x14="http://schemas.microsoft.com/office/spreadsheetml/2009/9/main" uri="{B025F937-C7B1-47D3-B67F-A62EFF666E3E}">
          <x14:id>{90A1B3D9-FFF2-DEFE-C178-01E5A9CB7ECE}</x14:id>
        </x:ext>
      </x:extLst>
    </x:cfRule>
  </x:conditionalFormatting>
  <x:conditionalFormatting sqref="M10:M15">
    <x:cfRule type="dataBar" priority="6">
      <x:dataBar>
        <x:cfvo type="min"/>
        <x:cfvo type="max"/>
        <x:color rgb="FFD8A63C"/>
      </x:dataBar>
    </x:cfRule>
    <x:cfRule type="dataBar" priority="15">
      <x:dataBar>
        <x:cfvo type="min"/>
        <x:cfvo type="max"/>
        <x:color rgb="FFD8A63C"/>
      </x:dataBar>
      <x:extLst>
        <x:ext xmlns:x14="http://schemas.microsoft.com/office/spreadsheetml/2009/9/main" uri="{B025F937-C7B1-47D3-B67F-A62EFF666E3E}">
          <x14:id>{4A77C89F-F309-8DF5-E1A7-769C5FCEA681}</x14:id>
        </x:ext>
      </x:extLst>
    </x:cfRule>
  </x:conditionalFormatting>
  <x:conditionalFormatting sqref="B10:G15">
    <x:cfRule type="dataBar" priority="19">
      <x:dataBar>
        <x:cfvo type="min"/>
        <x:cfvo type="max"/>
        <x:color rgb="FF5B9BD5"/>
      </x:dataBar>
    </x:cfRule>
    <x:cfRule type="dataBar" priority="2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{9D3407BA-1134-6F9B-D19F-A613834C2A2D}</x14:id>
        </x:ext>
      </x:extLst>
    </x:cfRule>
  </x:conditionalFormatting>
  <x:conditionalFormatting sqref="B10:M15">
    <x:cfRule type="dataBar" priority="21">
      <x:dataBar>
        <x:cfvo type="min"/>
        <x:cfvo type="max"/>
        <x:color rgb="FF5B9BD5"/>
      </x:dataBar>
    </x:cfRule>
    <x:cfRule type="dataBar" priority="2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{52C91449-CBC7-ECC4-9FA2-668C83A5804F}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8ecfa3cc6644f9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6" id="{393A9956-EDB8-3D59-110D-A245EDF1BCA4}">
            <x14:dataBar>
              <x14:cfvo type="min"/>
              <x14:cfvo type="max"/>
              <x14:fillColor rgb="FFD8A63C"/>
              <x14:negativeFillColor auto="1"/>
              <x14:axisColor auto="1"/>
            </x14:dataBar>
          </x14:cfRule>
          <xm:sqref>B33:E38</xm:sqref>
        </x14:conditionalFormatting>
        <x14:conditionalFormatting>
          <x14:cfRule type="dataBar" priority="12" id="{33DEE8FF-E98A-620E-12BF-369A28736917}">
            <x14:dataBar>
              <x14:cfvo type="min"/>
              <x14:cfvo type="max"/>
              <x14:fillColor rgb="FFD8A63C"/>
              <x14:negativeFillColor auto="1"/>
              <x14:axisColor auto="1"/>
            </x14:dataBar>
          </x14:cfRule>
          <xm:sqref>B42:F47</xm:sqref>
        </x14:conditionalFormatting>
        <x14:conditionalFormatting>
          <x14:cfRule type="dataBar" priority="17" id="{0C67B701-4450-BBE9-1208-6DDE839C43C3}">
            <x14:dataBar>
              <x14:cfvo type="min"/>
              <x14:cfvo type="max"/>
              <x14:fillColor rgb="FF4E87B8"/>
              <x14:negativeFillColor auto="1"/>
              <x14:axisColor auto="1"/>
            </x14:dataBar>
          </x14:cfRule>
          <xm:sqref>B54:F59</xm:sqref>
        </x14:conditionalFormatting>
        <x14:conditionalFormatting>
          <x14:cfRule type="dataBar" priority="14" id="{90A1B3D9-FFF2-DEFE-C178-01E5A9CB7ECE}">
            <x14:dataBar>
              <x14:cfvo type="min"/>
              <x14:cfvo type="max"/>
              <x14:fillColor rgb="FF1F4E78"/>
              <x14:negativeFillColor auto="1"/>
              <x14:axisColor auto="1"/>
            </x14:dataBar>
          </x14:cfRule>
          <xm:sqref>H10:H15</xm:sqref>
        </x14:conditionalFormatting>
        <x14:conditionalFormatting>
          <x14:cfRule type="dataBar" priority="15" id="{4A77C89F-F309-8DF5-E1A7-769C5FCEA681}">
            <x14:dataBar>
              <x14:cfvo type="min"/>
              <x14:cfvo type="max"/>
              <x14:fillColor rgb="FFD8A63C"/>
              <x14:negativeFillColor auto="1"/>
              <x14:axisColor auto="1"/>
            </x14:dataBar>
          </x14:cfRule>
          <xm:sqref>M10:M15</xm:sqref>
        </x14:conditionalFormatting>
        <x14:conditionalFormatting>
          <x14:cfRule type="dataBar" priority="20" id="{9D3407BA-1134-6F9B-D19F-A613834C2A2D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B10:G15</xm:sqref>
        </x14:conditionalFormatting>
        <x14:conditionalFormatting>
          <x14:cfRule type="dataBar" priority="22" id="{52C91449-CBC7-ECC4-9FA2-668C83A5804F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B10:M15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</x:cols>
  <x:sheetData>
    <x:row r="1" ht="22.649999618530273" customHeight="1">
      <x:c r="A1" s="52" t="s">
        <x:v>2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3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str">
        <x:v>Merchant Offers (Count Only): 0</x:v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COUNTIFS('STC Bank'!$C$9:$C$500,"&lt;&gt;",'STC Bank'!$M$9:$M$500,"&lt;&gt;")</x:f>
        <x:v>16</x:v>
      </x:c>
      <x:c r="B5" s="53"/>
      <x:c r="C5" s="53"/>
      <x:c r="D5" s="53" t="n">
        <x:f>COUNTIFS('STC Bank'!$C$9:$C$500,"&lt;&gt;",'STC Bank'!$I$9:$I$500,"End Date Not Stated")</x:f>
        <x:v>1</x:v>
      </x:c>
      <x:c r="E5" s="53" t="n">
        <x:f>COUNTIFS('STC Bank'!$C$9:$C$500,"&lt;&gt;",'STC Bank'!$I$9:$I$500,"End Date Not Stated")</x:f>
        <x:v>1</x:v>
      </x:c>
      <x:c r="F5" s="53"/>
      <x:c r="G5" s="53" t="n">
        <x:f>COUNTIFS('STC Bank'!$C$9:$C$500,"&lt;&gt;",'STC Bank'!$B$9:$B$500,"Remittance")</x:f>
        <x:v>0</x:v>
      </x:c>
      <x:c r="H5" s="53"/>
      <x:c r="I5" s="54" t="n">
        <x:f>COUNTIFS('STC Bank'!$C$9:$C$500,"&lt;&gt;",'STC Bank'!$B$9:$B$500,"Remittance")</x:f>
        <x:v>0</x:v>
      </x:c>
      <x:c r="J5" s="54" t="n">
        <x:f>COUNTIFS('STC Bank'!$C$9:$C$500,"&lt;&gt;",'STC Bank'!$I$9:$I$500,"Expiring ≤7 Days")+COUNTIFS('STC Bank'!$C$9:$C$500,"&lt;&gt;",'STC Bank'!$I$9:$I$500,"Expiring 8–30 Days")</x:f>
        <x:v>2</x:v>
      </x:c>
      <x:c r="K5" s="54"/>
      <x:c r="L5" s="54"/>
      <x:c r="M5" s="55" t="n">
        <x:v>0</x:v>
      </x:c>
      <x:c r="N5" s="55"/>
      <x:c r="O5" s="55"/>
      <x:c r="P5" s="55"/>
      <x:c r="Q5" s="53" t="n">
        <x:f>COUNTIFS('STC Bank'!$C$9:$C$500,"&lt;&gt;",'STC Bank'!$I$9:$I$500,"Expiring ≤7 Days")+COUNTIFS('STC Bank'!$C$9:$C$500,"&lt;&gt;",'STC Bank'!$I$9:$I$500,"Expiring 8–30 Days")</x:f>
        <x:v>2</x:v>
      </x:c>
      <x:c r="R5" s="53"/>
      <x:c r="S5" s="53"/>
      <x:c r="T5" s="53"/>
    </x:row>
    <x:row r="8" ht="30.649999618530273" customHeight="1">
      <x:c r="A8" s="3" t="s">
        <x:v>4</x:v>
      </x:c>
      <x:c r="B8" s="3" t="s">
        <x:v>5</x:v>
      </x:c>
      <x:c r="C8" s="3" t="s">
        <x:v>6</x:v>
      </x:c>
      <x:c r="D8" s="3" t="s">
        <x:v>7</x:v>
      </x:c>
      <x:c r="E8" s="3" t="s">
        <x:v>8</x:v>
      </x:c>
      <x:c r="F8" s="3" t="s">
        <x:v>9</x:v>
      </x:c>
      <x:c r="G8" s="3" t="s">
        <x:v>10</x:v>
      </x:c>
      <x:c r="H8" s="3" t="s">
        <x:v>11</x:v>
      </x:c>
      <x:c r="I8" s="3" t="s">
        <x:v>12</x:v>
      </x:c>
      <x:c r="J8" s="3" t="s">
        <x:v>13</x:v>
      </x:c>
      <x:c r="K8" s="3" t="s">
        <x:v>14</x:v>
      </x:c>
      <x:c r="L8" s="3" t="s">
        <x:v>15</x:v>
      </x:c>
      <x:c r="M8" s="3" t="s">
        <x:v>16</x:v>
      </x:c>
      <x:c r="N8" s="3" t="s">
        <x:v>17</x:v>
      </x:c>
      <x:c r="O8" s="3" t="s">
        <x:v>18</x:v>
      </x:c>
      <x:c r="P8" s="3" t="s">
        <x:v>19</x:v>
      </x:c>
      <x:c r="Q8" s="3" t="s">
        <x:v>20</x:v>
      </x:c>
      <x:c r="R8" s="3" t="s">
        <x:v>21</x:v>
      </x:c>
      <x:c r="S8" s="3" t="s">
        <x:v>22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53" si="0">IF(C9="","",ROW()-8)</x:f>
        <x:v>1</x:v>
      </x:c>
      <x:c r="B9" s="4" t="s">
        <x:v>23</x:v>
      </x:c>
      <x:c r="C9" s="4" t="s">
        <x:v>24</x:v>
      </x:c>
      <x:c r="D9" s="4" t="s">
        <x:v>25</x:v>
      </x:c>
      <x:c r="E9" s="5"/>
      <x:c r="F9" s="5">
        <x:v>46159</x:v>
      </x:c>
      <x:c r="G9" s="5" t="n">
        <x:v>46265</x:v>
      </x:c>
      <x:c r="H9" s="7" t="n">
        <x:f t="shared" ref="H9:H53" si="1">IF(OR(C9="",G9=""),"",G9-TODAY())</x:f>
        <x:v>5</x:v>
      </x:c>
      <x:c r="I9" s="6" t="str">
        <x:f t="shared" ref="I9:I53" si="2">IF(C9="","",IF(G9="","End Date Not Stated",IF(G9&lt;TODAY(),"Expired",IF(G9&lt;=TODAY()+7,"Expiring ≤7 Days",IF(G9&lt;=TODAY()+30,"Expiring 8–30 Days","Active")))))</x:f>
        <x:v>Expiring ≤7 Days</x:v>
      </x:c>
      <x:c r="J9" s="4" t="s">
        <x:v>26</x:v>
      </x:c>
      <x:c r="K9" s="4" t="s">
        <x:v>27</x:v>
      </x:c>
      <x:c r="L9" s="4" t="s">
        <x:v>28</x:v>
      </x:c>
      <x:c r="M9" s="9" t="str">
        <x:f>IF(C9="","",IF(N9&lt;&gt;"",N9,IF(O9&lt;&gt;"",O9,IF(P9&lt;&gt;"",P9,IF(Q9&lt;&gt;"",Q9,IF(R9&lt;&gt;"",R9,""))))))</x:f>
        <x:v>https://stcbank.com.sa/en/web/guest/w/international-purchases-with-0-fees</x:v>
      </x:c>
      <x:c r="N9" s="4" t="s">
        <x:v>29</x:v>
      </x:c>
      <x:c r="O9" s="4" t="s">
        <x:v>30</x:v>
      </x:c>
      <x:c r="P9" s="4" t="s">
        <x:v>31</x:v>
      </x:c>
      <x:c r="Q9" s="63" t="s">
        <x:v>32</x:v>
      </x:c>
      <x:c r="R9" s="63" t="s">
        <x:v>33</x:v>
      </x:c>
      <x:c r="S9" s="4" t="str">
        <x:v>0% international POS fee campaign is valid from 17 May to 31 August 2026. International e-commerce purchases are excluded; free withdrawals apply to international ATMs. Digital-wallet purchases are eligible under the official terms.</x:v>
      </x:c>
      <x:c r="T9" s="5" t="n">
        <x:v>46240</x:v>
      </x:c>
      <x:c r="U9" s="35" t="str">
        <x:f t="shared" ref="U9:U53" si="3">IF(C9="","",IF(COUNTA(O9:R9)=0,"No direct social post verified",IF(O9&lt;&gt;"","Instagram","")&amp;IF(AND(O9&lt;&gt;"",OR(P9&lt;&gt;"",Q9&lt;&gt;"",R9&lt;&gt;"")),", ","")&amp;IF(P9&lt;&gt;"","X","")&amp;IF(AND(P9&lt;&gt;"",OR(Q9&lt;&gt;"",R9&lt;&gt;"")),", ","")&amp;IF(Q9&lt;&gt;"","Facebook","")&amp;IF(AND(Q9&lt;&gt;"",R9&lt;&gt;""),", ","")&amp;IF(R9&lt;&gt;"","TikTok","")))</x:f>
        <x:v>Instagram, X, Facebook, TikTok</x:v>
      </x:c>
    </x:row>
    <x:row r="10" ht="46.650001525878906" customHeight="1">
      <x:c r="A10" s="8" t="n">
        <x:f t="shared" si="0">IF(C10="","",ROW()-8)</x:f>
        <x:v>2</x:v>
      </x:c>
      <x:c r="B10" s="4" t="s">
        <x:v>23</x:v>
      </x:c>
      <x:c r="C10" s="4" t="s">
        <x:v>34</x:v>
      </x:c>
      <x:c r="D10" s="4" t="s">
        <x:v>35</x:v>
      </x:c>
      <x:c r="E10" s="5"/>
      <x:c r="F10" s="5">
        <x:v>46198</x:v>
      </x:c>
      <x:c r="G10" s="5" t="n">
        <x:v>46268</x:v>
      </x:c>
      <x:c r="H10" s="7" t="n">
        <x:f t="shared" si="1">IF(OR(C10="",G10=""),"",G10-TODAY())</x:f>
        <x:v>8</x:v>
      </x:c>
      <x:c r="I10" s="6" t="str">
        <x:f t="shared" si="2">IF(C10="","",IF(G10="","End Date Not Stated",IF(G10&lt;TODAY(),"Expired",IF(G10&lt;=TODAY()+7,"Expiring ≤7 Days",IF(G10&lt;=TODAY()+30,"Expiring 8–30 Days","Active")))))</x:f>
        <x:v>Expiring 8–30 Days</x:v>
      </x:c>
      <x:c r="J10" s="4" t="s">
        <x:v>36</x:v>
      </x:c>
      <x:c r="K10" s="4" t="s">
        <x:v>37</x:v>
      </x:c>
      <x:c r="L10" s="4" t="s">
        <x:v>28</x:v>
      </x:c>
      <x:c r="M10" s="9" t="str">
        <x:f>IF(C10="","",IF(N10&lt;&gt;"",N10,IF(O10&lt;&gt;"",O10,IF(P10&lt;&gt;"",P10,IF(Q10&lt;&gt;"",Q10,IF(R10&lt;&gt;"",R10,""))))))</x:f>
        <x:v>https://stcbank.com.sa/en/web/guest/w/international-purchases-with-0-fees</x:v>
      </x:c>
      <x:c r="N10" s="63" t="s">
        <x:v>29</x:v>
      </x:c>
      <x:c r="O10" s="4" t="s">
        <x:v>38</x:v>
      </x:c>
      <x:c r="P10" s="4" t="s">
        <x:v>39</x:v>
      </x:c>
      <x:c r="Q10" s="63" t="s">
        <x:v>40</x:v>
      </x:c>
      <x:c r="R10" s="4"/>
      <x:c r="S10" s="4" t="str">
        <x:v>Travel voucher campaign is valid from 25 June to 3 September 2026. The top 10 weekly international spenders receive SAR 10,000 Almatar vouchers; cash withdrawals and wallet/account top-ups are excluded.</x:v>
      </x:c>
      <x:c r="T10" s="5" t="n">
        <x:v>46240</x:v>
      </x:c>
      <x:c r="U10" s="35" t="str">
        <x:f t="shared" si="3">IF(C10="","",IF(COUNTA(O10:R10)=0,"No direct social post verified",IF(O10&lt;&gt;"","Instagram","")&amp;IF(AND(O10&lt;&gt;"",OR(P10&lt;&gt;"",Q10&lt;&gt;"",R10&lt;&gt;"")),", ","")&amp;IF(P10&lt;&gt;"","X","")&amp;IF(AND(P10&lt;&gt;"",OR(Q10&lt;&gt;"",R10&lt;&gt;"")),", ","")&amp;IF(Q10&lt;&gt;"","Facebook","")&amp;IF(AND(Q10&lt;&gt;"",R10&lt;&gt;""),", ","")&amp;IF(R10&lt;&gt;"","TikTok","")))</x:f>
        <x:v>Instagram, X, Facebook</x:v>
      </x:c>
    </x:row>
    <x:row r="11" ht="46.650001525878906" customHeight="1">
      <x:c r="A11" s="8" t="n">
        <x:f t="shared" si="0">IF(C11="","",ROW()-8)</x:f>
        <x:v>3</x:v>
      </x:c>
      <x:c r="B11" s="4" t="s">
        <x:v>23</x:v>
      </x:c>
      <x:c r="C11" s="4" t="s">
        <x:v>41</x:v>
      </x:c>
      <x:c r="D11" s="4" t="s">
        <x:v>42</x:v>
      </x:c>
      <x:c r="E11" s="5"/>
      <x:c r="F11" s="5"/>
      <x:c r="G11" s="5" t="n">
        <x:v>46254</x:v>
      </x:c>
      <x:c r="H11" s="7" t="n">
        <x:f t="shared" si="1">IF(OR(C11="",G11=""),"",G11-TODAY())</x:f>
        <x:v>-6</x:v>
      </x:c>
      <x:c r="I11" s="6" t="str">
        <x:f t="shared" si="2">IF(C11="","",IF(G11="","End Date Not Stated",IF(G11&lt;TODAY(),"Expired",IF(G11&lt;=TODAY()+7,"Expiring ≤7 Days",IF(G11&lt;=TODAY()+30,"Expiring 8–30 Days","Active")))))</x:f>
        <x:v>Expired</x:v>
      </x:c>
      <x:c r="J11" s="4" t="s">
        <x:v>43</x:v>
      </x:c>
      <x:c r="K11" s="4" t="s">
        <x:v>44</x:v>
      </x:c>
      <x:c r="L11" s="4" t="s">
        <x:v>28</x:v>
      </x:c>
      <x:c r="M11" s="9" t="str">
        <x:f t="shared" ref="M11:M53" si="4">IF(C11="","",IF(N11&lt;&gt;"",N11,IF(O11&lt;&gt;"",O11,IF(P11&lt;&gt;"",P11,IF(Q11&lt;&gt;"",Q11,IF(R11&lt;&gt;"",R11,""))))))</x:f>
        <x:v>https://stcbank.com.sa/en/web/guest/w/visa_cards_rewards</x:v>
      </x:c>
      <x:c r="N11" s="63" t="s">
        <x:v>45</x:v>
      </x:c>
      <x:c r="O11" s="4"/>
      <x:c r="P11" s="4"/>
      <x:c r="Q11" s="4"/>
      <x:c r="R11" s="4"/>
      <x:c r="S11" s="4" t="str">
        <x:v>Campaign applies to Visa payment cards (Classic, Platinum, Signature), digital or physical; credit cards excluded. Monthly iPhone reward requires SAR 4,000 spend and weekly Apple Watch reward requires a SAR 300 qualifying purchase.</x:v>
      </x:c>
      <x:c r="T11" s="5" t="n">
        <x:v>46240</x:v>
      </x:c>
      <x:c r="U11" s="35" t="str">
        <x:f t="shared" si="3">IF(C11="","",IF(COUNTA(O11:R11)=0,"No direct social post verified",IF(O11&lt;&gt;"","Instagram","")&amp;IF(AND(O11&lt;&gt;"",OR(P11&lt;&gt;"",Q11&lt;&gt;"",R11&lt;&gt;"")),", ","")&amp;IF(P11&lt;&gt;"","X","")&amp;IF(AND(P11&lt;&gt;"",OR(Q11&lt;&gt;"",R11&lt;&gt;"")),", ","")&amp;IF(Q11&lt;&gt;"","Facebook","")&amp;IF(AND(Q11&lt;&gt;"",R11&lt;&gt;""),", ","")&amp;IF(R11&lt;&gt;"","TikTok","")))</x:f>
        <x:v>No direct social post verified</x:v>
      </x:c>
    </x:row>
    <x:row r="12" ht="46.650001525878906" customHeight="1">
      <x:c r="A12" s="8" t="n">
        <x:f t="shared" si="0">IF(C12="","",ROW()-8)</x:f>
        <x:v>4</x:v>
      </x:c>
      <x:c r="B12" s="4" t="s">
        <x:v>23</x:v>
      </x:c>
      <x:c r="C12" s="4" t="s">
        <x:v>46</x:v>
      </x:c>
      <x:c r="D12" s="4" t="s">
        <x:v>47</x:v>
      </x:c>
      <x:c r="E12" s="5">
        <x:v>46217</x:v>
      </x:c>
      <x:c r="F12" s="5"/>
      <x:c r="G12" s="5"/>
      <x:c r="H12" s="7" t="str">
        <x:f t="shared" si="1">IF(OR(C12="",G12=""),"",G12-TODAY())</x:f>
      </x:c>
      <x:c r="I12" s="6" t="str">
        <x:f t="shared" si="2">IF(C12="","",IF(G12="","End Date Not Stated",IF(G12&lt;TODAY(),"Expired",IF(G12&lt;=TODAY()+7,"Expiring ≤7 Days",IF(G12&lt;=TODAY()+30,"Expiring 8–30 Days","Active")))))</x:f>
        <x:v>End Date Not Stated</x:v>
      </x:c>
      <x:c r="J12" s="4" t="s">
        <x:v>48</x:v>
      </x:c>
      <x:c r="K12" s="4" t="s">
        <x:v>49</x:v>
      </x:c>
      <x:c r="L12" s="4" t="s">
        <x:v>50</x:v>
      </x:c>
      <x:c r="M12" s="9" t="str">
        <x:f t="shared" si="4">IF(C12="","",IF(N12&lt;&gt;"",N12,IF(O12&lt;&gt;"",O12,IF(P12&lt;&gt;"",P12,IF(Q12&lt;&gt;"",Q12,IF(R12&lt;&gt;"",R12,""))))))</x:f>
        <x:v>https://www.instagram.com/reel/DWots29j8fx/?hl=en</x:v>
      </x:c>
      <x:c r="N12" s="4"/>
      <x:c r="O12" s="63" t="s">
        <x:v>51</x:v>
      </x:c>
      <x:c r="P12" s="63" t="s">
        <x:v>52</x:v>
      </x:c>
      <x:c r="Q12" s="63" t="s">
        <x:v>53</x:v>
      </x:c>
      <x:c r="R12" s="4"/>
      <x:c r="S12" s="4" t="s">
        <x:v>54</x:v>
      </x:c>
      <x:c r="T12" s="5" t="n">
        <x:v>46240</x:v>
      </x:c>
      <x:c r="U12" s="35" t="str">
        <x:f t="shared" si="3">IF(C12="","",IF(COUNTA(O12:R12)=0,"No direct social post verified",IF(O12&lt;&gt;"","Instagram","")&amp;IF(AND(O12&lt;&gt;"",OR(P12&lt;&gt;"",Q12&lt;&gt;"",R12&lt;&gt;"")),", ","")&amp;IF(P12&lt;&gt;"","X","")&amp;IF(AND(P12&lt;&gt;"",OR(Q12&lt;&gt;"",R12&lt;&gt;"")),", ","")&amp;IF(Q12&lt;&gt;"","Facebook","")&amp;IF(AND(Q12&lt;&gt;"",R12&lt;&gt;""),", ","")&amp;IF(R12&lt;&gt;"","TikTok","")))</x:f>
        <x:v>Instagram, X, Facebook</x:v>
      </x:c>
    </x:row>
    <x:row r="13" ht="46.650001525878906" customHeight="1">
      <x:c r="A13" s="8" t="n">
        <x:f t="shared" si="0">IF(C13="","",ROW()-8)</x:f>
        <x:v>5</x:v>
      </x:c>
      <x:c r="B13" s="4" t="s">
        <x:v>55</x:v>
      </x:c>
      <x:c r="C13" s="4" t="s">
        <x:v>56</x:v>
      </x:c>
      <x:c r="D13" s="4" t="s">
        <x:v>57</x:v>
      </x:c>
      <x:c r="E13" s="5"/>
      <x:c r="F13" s="5"/>
      <x:c r="G13" s="5" t="n">
        <x:v>46752</x:v>
      </x:c>
      <x:c r="H13" s="7" t="n">
        <x:f t="shared" si="1">IF(OR(C13="",G13=""),"",G13-TODAY())</x:f>
        <x:v>492</x:v>
      </x:c>
      <x:c r="I13" s="6" t="str">
        <x:f t="shared" si="2">IF(C13="","",IF(G13="","End Date Not Stated",IF(G13&lt;TODAY(),"Expired",IF(G13&lt;=TODAY()+7,"Expiring ≤7 Days",IF(G13&lt;=TODAY()+30,"Expiring 8–30 Days","Active")))))</x:f>
        <x:v>Active</x:v>
      </x:c>
      <x:c r="J13" s="4" t="s">
        <x:v>58</x:v>
      </x:c>
      <x:c r="K13" s="4" t="s">
        <x:v>59</x:v>
      </x:c>
      <x:c r="L13" s="4" t="s">
        <x:v>60</x:v>
      </x:c>
      <x:c r="M13" s="9" t="str">
        <x:f t="shared" si="4">IF(C13="","",IF(N13&lt;&gt;"",N13,IF(O13&lt;&gt;"",O13,IF(P13&lt;&gt;"",P13,IF(Q13&lt;&gt;"",Q13,IF(R13&lt;&gt;"",R13,""))))))</x:f>
        <x:v>https://stcbank.com.sa/en/web/guest/w/almatar-offer</x:v>
      </x:c>
      <x:c r="N13" s="4" t="s">
        <x:v>61</x:v>
      </x:c>
      <x:c r="O13" s="4"/>
      <x:c r="P13" s="4"/>
      <x:c r="Q13" s="4"/>
      <x:c r="R13" s="4"/>
      <x:c r="S13" s="4" t="str">
        <x:v>Official page now explicitly states validity through 31 December 2027. Digital-wallet payments are excluded.</x:v>
      </x:c>
      <x:c r="T13" s="5" t="n">
        <x:v>46240</x:v>
      </x:c>
      <x:c r="U13" s="35" t="str">
        <x:f t="shared" si="3">IF(C13="","",IF(COUNTA(O13:R13)=0,"No direct social post verified",IF(O13&lt;&gt;"","Instagram","")&amp;IF(AND(O13&lt;&gt;"",OR(P13&lt;&gt;"",Q13&lt;&gt;"",R13&lt;&gt;"")),", ","")&amp;IF(P13&lt;&gt;"","X","")&amp;IF(AND(P13&lt;&gt;"",OR(Q13&lt;&gt;"",R13&lt;&gt;"")),", ","")&amp;IF(Q13&lt;&gt;"","Facebook","")&amp;IF(AND(Q13&lt;&gt;"",R13&lt;&gt;""),", ","")&amp;IF(R13&lt;&gt;"","TikTok","")))</x:f>
        <x:v>No direct social post verified</x:v>
      </x:c>
    </x:row>
    <x:row r="14" ht="46.650001525878906" customHeight="1">
      <x:c r="A14" s="8" t="n">
        <x:f t="shared" si="0">IF(C14="","",ROW()-8)</x:f>
        <x:v>6</x:v>
      </x:c>
      <x:c r="B14" s="4" t="s">
        <x:v>55</x:v>
      </x:c>
      <x:c r="C14" s="4" t="s">
        <x:v>62</x:v>
      </x:c>
      <x:c r="D14" s="4" t="s">
        <x:v>63</x:v>
      </x:c>
      <x:c r="E14" s="5"/>
      <x:c r="F14" s="5"/>
      <x:c r="G14" s="5" t="n">
        <x:v>46234</x:v>
      </x:c>
      <x:c r="H14" s="7" t="n">
        <x:f t="shared" si="1">IF(OR(C14="",G14=""),"",G14-TODAY())</x:f>
        <x:v>-26</x:v>
      </x:c>
      <x:c r="I14" s="6" t="str">
        <x:f t="shared" si="2">IF(C14="","",IF(G14="","End Date Not Stated",IF(G14&lt;TODAY(),"Expired",IF(G14&lt;=TODAY()+7,"Expiring ≤7 Days",IF(G14&lt;=TODAY()+30,"Expiring 8–30 Days","Active")))))</x:f>
        <x:v>Expired</x:v>
      </x:c>
      <x:c r="J14" s="4" t="s">
        <x:v>64</x:v>
      </x:c>
      <x:c r="K14" s="4" t="s">
        <x:v>65</x:v>
      </x:c>
      <x:c r="L14" s="4" t="s">
        <x:v>66</x:v>
      </x:c>
      <x:c r="M14" s="9" t="str">
        <x:f t="shared" si="4">IF(C14="","",IF(N14&lt;&gt;"",N14,IF(O14&lt;&gt;"",O14,IF(P14&lt;&gt;"",P14,IF(Q14&lt;&gt;"",Q14,IF(R14&lt;&gt;"",R14,""))))))</x:f>
        <x:v>https://stcbank.com.sa/en/web/guest/w/whites-offer</x:v>
      </x:c>
      <x:c r="N14" s="4" t="s">
        <x:v>67</x:v>
      </x:c>
      <x:c r="O14" s="4"/>
      <x:c r="P14" s="4"/>
      <x:c r="Q14" s="4"/>
      <x:c r="R14" s="4"/>
      <x:c r="S14" s="4" t="str">
        <x:v>Offer was valid through 31 July 2026 and is now expired.</x:v>
      </x:c>
      <x:c r="T14" s="5" t="n">
        <x:v>46240</x:v>
      </x:c>
      <x:c r="U14" s="35" t="str">
        <x:f t="shared" si="3">IF(C14="","",IF(COUNTA(O14:R14)=0,"No direct social post verified",IF(O14&lt;&gt;"","Instagram","")&amp;IF(AND(O14&lt;&gt;"",OR(P14&lt;&gt;"",Q14&lt;&gt;"",R14&lt;&gt;"")),", ","")&amp;IF(P14&lt;&gt;"","X","")&amp;IF(AND(P14&lt;&gt;"",OR(Q14&lt;&gt;"",R14&lt;&gt;"")),", ","")&amp;IF(Q14&lt;&gt;"","Facebook","")&amp;IF(AND(Q14&lt;&gt;"",R14&lt;&gt;""),", ","")&amp;IF(R14&lt;&gt;"","TikTok","")))</x:f>
        <x:v>No direct social post verified</x:v>
      </x:c>
    </x:row>
    <x:row r="15" ht="46.650001525878906" customHeight="1">
      <x:c r="A15" s="8" t="n">
        <x:f t="shared" si="0">IF(C15="","",ROW()-8)</x:f>
        <x:v>7</x:v>
      </x:c>
      <x:c r="B15" s="4" t="s">
        <x:v>55</x:v>
      </x:c>
      <x:c r="C15" s="4" t="s">
        <x:v>68</x:v>
      </x:c>
      <x:c r="D15" s="4" t="s">
        <x:v>69</x:v>
      </x:c>
      <x:c r="E15" s="5"/>
      <x:c r="F15" s="5"/>
      <x:c r="G15" s="5" t="n">
        <x:v>46236</x:v>
      </x:c>
      <x:c r="H15" s="7" t="n">
        <x:f t="shared" si="1">IF(OR(C15="",G15=""),"",G15-TODAY())</x:f>
        <x:v>-24</x:v>
      </x:c>
      <x:c r="I15" s="6" t="str">
        <x:f t="shared" si="2">IF(C15="","",IF(G15="","End Date Not Stated",IF(G15&lt;TODAY(),"Expired",IF(G15&lt;=TODAY()+7,"Expiring ≤7 Days",IF(G15&lt;=TODAY()+30,"Expiring 8–30 Days","Active")))))</x:f>
        <x:v>Expired</x:v>
      </x:c>
      <x:c r="J15" s="4" t="s">
        <x:v>70</x:v>
      </x:c>
      <x:c r="K15" s="4" t="s">
        <x:v>71</x:v>
      </x:c>
      <x:c r="L15" s="4" t="s">
        <x:v>66</x:v>
      </x:c>
      <x:c r="M15" s="9" t="str">
        <x:f t="shared" si="4">IF(C15="","",IF(N15&lt;&gt;"",N15,IF(O15&lt;&gt;"",O15,IF(P15&lt;&gt;"",P15,IF(Q15&lt;&gt;"",Q15,IF(R15&lt;&gt;"",R15,""))))))</x:f>
        <x:v>https://stcbank.com.sa/en/web/guest/w/huawei</x:v>
      </x:c>
      <x:c r="N15" s="4" t="s">
        <x:v>72</x:v>
      </x:c>
      <x:c r="O15" s="4"/>
      <x:c r="P15" s="4"/>
      <x:c r="Q15" s="4"/>
      <x:c r="R15" s="4"/>
      <x:c r="S15" s="4" t="str">
        <x:v>Offer was valid through 2 August 2026 and is now expired.</x:v>
      </x:c>
      <x:c r="T15" s="5" t="n">
        <x:v>46240</x:v>
      </x:c>
      <x:c r="U15" s="35" t="str">
        <x:f t="shared" si="3">IF(C15="","",IF(COUNTA(O15:R15)=0,"No direct social post verified",IF(O15&lt;&gt;"","Instagram","")&amp;IF(AND(O15&lt;&gt;"",OR(P15&lt;&gt;"",Q15&lt;&gt;"",R15&lt;&gt;"")),", ","")&amp;IF(P15&lt;&gt;"","X","")&amp;IF(AND(P15&lt;&gt;"",OR(Q15&lt;&gt;"",R15&lt;&gt;"")),", ","")&amp;IF(Q15&lt;&gt;"","Facebook","")&amp;IF(AND(Q15&lt;&gt;"",R15&lt;&gt;""),", ","")&amp;IF(R15&lt;&gt;"","TikTok","")))</x:f>
        <x:v>No direct social post verified</x:v>
      </x:c>
    </x:row>
    <x:row r="16" ht="46.650001525878906" customHeight="1">
      <x:c r="A16" s="8" t="n">
        <x:f t="shared" si="0">IF(C16="","",ROW()-8)</x:f>
        <x:v>8</x:v>
      </x:c>
      <x:c r="B16" s="4" t="s">
        <x:v>55</x:v>
      </x:c>
      <x:c r="C16" s="4" t="s">
        <x:v>73</x:v>
      </x:c>
      <x:c r="D16" s="4" t="s">
        <x:v>74</x:v>
      </x:c>
      <x:c r="E16" s="5"/>
      <x:c r="F16" s="5">
        <x:v>46001</x:v>
      </x:c>
      <x:c r="G16" s="5" t="n">
        <x:v>46259</x:v>
      </x:c>
      <x:c r="H16" s="7" t="n">
        <x:f t="shared" si="1">IF(OR(C16="",G16=""),"",G16-TODAY())</x:f>
        <x:v>-1</x:v>
      </x:c>
      <x:c r="I16" s="6" t="str">
        <x:f t="shared" si="2">IF(C16="","",IF(G16="","End Date Not Stated",IF(G16&lt;TODAY(),"Expired",IF(G16&lt;=TODAY()+7,"Expiring ≤7 Days",IF(G16&lt;=TODAY()+30,"Expiring 8–30 Days","Active")))))</x:f>
        <x:v>Expired</x:v>
      </x:c>
      <x:c r="J16" s="4" t="s">
        <x:v>75</x:v>
      </x:c>
      <x:c r="K16" s="4" t="s">
        <x:v>76</x:v>
      </x:c>
      <x:c r="L16" s="4" t="s">
        <x:v>77</x:v>
      </x:c>
      <x:c r="M16" s="9" t="str">
        <x:f t="shared" si="4">IF(C16="","",IF(N16&lt;&gt;"",N16,IF(O16&lt;&gt;"",O16,IF(P16&lt;&gt;"",P16,IF(Q16&lt;&gt;"",Q16,IF(R16&lt;&gt;"",R16,""))))))</x:f>
        <x:v>https://stcbank.com.sa/en/web/guest/w/loca</x:v>
      </x:c>
      <x:c r="N16" s="4" t="s">
        <x:v>78</x:v>
      </x:c>
      <x:c r="O16" s="4"/>
      <x:c r="P16" s="4"/>
      <x:c r="Q16" s="4"/>
      <x:c r="R16" s="4"/>
      <x:c r="S16" s="4" t="str">
        <x:v>Offer is valid through 25 August 2026. Discounted products and digital-wallet payments are excluded.</x:v>
      </x:c>
      <x:c r="T16" s="5" t="n">
        <x:v>46240</x:v>
      </x:c>
      <x:c r="U16" s="35" t="str">
        <x:f t="shared" si="3">IF(C16="","",IF(COUNTA(O16:R16)=0,"No direct social post verified",IF(O16&lt;&gt;"","Instagram","")&amp;IF(AND(O16&lt;&gt;"",OR(P16&lt;&gt;"",Q16&lt;&gt;"",R16&lt;&gt;"")),", ","")&amp;IF(P16&lt;&gt;"","X","")&amp;IF(AND(P16&lt;&gt;"",OR(Q16&lt;&gt;"",R16&lt;&gt;"")),", ","")&amp;IF(Q16&lt;&gt;"","Facebook","")&amp;IF(AND(Q16&lt;&gt;"",R16&lt;&gt;""),", ","")&amp;IF(R16&lt;&gt;"","TikTok","")))</x:f>
        <x:v>No direct social post verified</x:v>
      </x:c>
    </x:row>
    <x:row r="17" ht="46.650001525878906" customHeight="1">
      <x:c r="A17" s="8" t="n">
        <x:f t="shared" si="0">IF(C17="","",ROW()-8)</x:f>
        <x:v>9</x:v>
      </x:c>
      <x:c r="B17" s="4" t="s">
        <x:v>55</x:v>
      </x:c>
      <x:c r="C17" s="4" t="s">
        <x:v>79</x:v>
      </x:c>
      <x:c r="D17" s="4" t="s">
        <x:v>80</x:v>
      </x:c>
      <x:c r="E17" s="5"/>
      <x:c r="F17" s="5"/>
      <x:c r="G17" s="5" t="n">
        <x:v>46293</x:v>
      </x:c>
      <x:c r="H17" s="7" t="n">
        <x:f t="shared" si="1">IF(OR(C17="",G17=""),"",G17-TODAY())</x:f>
        <x:v>33</x:v>
      </x:c>
      <x:c r="I17" s="6" t="str">
        <x:f t="shared" si="2">IF(C17="","",IF(G17="","End Date Not Stated",IF(G17&lt;TODAY(),"Expired",IF(G17&lt;=TODAY()+7,"Expiring ≤7 Days",IF(G17&lt;=TODAY()+30,"Expiring 8–30 Days","Active")))))</x:f>
        <x:v>Active</x:v>
      </x:c>
      <x:c r="J17" s="4" t="s">
        <x:v>81</x:v>
      </x:c>
      <x:c r="K17" s="4" t="s">
        <x:v>76</x:v>
      </x:c>
      <x:c r="L17" s="4" t="s">
        <x:v>77</x:v>
      </x:c>
      <x:c r="M17" s="9" t="str">
        <x:f t="shared" si="4">IF(C17="","",IF(N17&lt;&gt;"",N17,IF(O17&lt;&gt;"",O17,IF(P17&lt;&gt;"",P17,IF(Q17&lt;&gt;"",Q17,IF(R17&lt;&gt;"",R17,""))))))</x:f>
        <x:v>https://stcbank.com.sa/en/web/guest/w/canton-offer</x:v>
      </x:c>
      <x:c r="N17" s="4" t="s">
        <x:v>82</x:v>
      </x:c>
      <x:c r="O17" s="4"/>
      <x:c r="P17" s="4"/>
      <x:c r="Q17" s="4"/>
      <x:c r="R17" s="4"/>
      <x:c r="S17" s="4" t="str">
        <x:v>Official page explicitly states validity through 28 September 2026.</x:v>
      </x:c>
      <x:c r="T17" s="5" t="n">
        <x:v>46240</x:v>
      </x:c>
      <x:c r="U17" s="35" t="str">
        <x:f t="shared" si="3">IF(C17="","",IF(COUNTA(O17:R17)=0,"No direct social post verified",IF(O17&lt;&gt;"","Instagram","")&amp;IF(AND(O17&lt;&gt;"",OR(P17&lt;&gt;"",Q17&lt;&gt;"",R17&lt;&gt;"")),", ","")&amp;IF(P17&lt;&gt;"","X","")&amp;IF(AND(P17&lt;&gt;"",OR(Q17&lt;&gt;"",R17&lt;&gt;"")),", ","")&amp;IF(Q17&lt;&gt;"","Facebook","")&amp;IF(AND(Q17&lt;&gt;"",R17&lt;&gt;""),", ","")&amp;IF(R17&lt;&gt;"","TikTok","")))</x:f>
        <x:v>No direct social post verified</x:v>
      </x:c>
    </x:row>
    <x:row r="18" ht="46.650001525878906" customHeight="1">
      <x:c r="A18" s="8" t="n">
        <x:f t="shared" si="0">IF(C18="","",ROW()-8)</x:f>
        <x:v>10</x:v>
      </x:c>
      <x:c r="B18" s="4" t="s">
        <x:v>55</x:v>
      </x:c>
      <x:c r="C18" s="4" t="s">
        <x:v>83</x:v>
      </x:c>
      <x:c r="D18" s="4" t="s">
        <x:v>84</x:v>
      </x:c>
      <x:c r="E18" s="5"/>
      <x:c r="F18" s="5"/>
      <x:c r="G18" s="5" t="n">
        <x:v>46295</x:v>
      </x:c>
      <x:c r="H18" s="7" t="n">
        <x:f t="shared" si="1">IF(OR(C18="",G18=""),"",G18-TODAY())</x:f>
        <x:v>35</x:v>
      </x:c>
      <x:c r="I18" s="6" t="str">
        <x:f t="shared" si="2">IF(C18="","",IF(G18="","End Date Not Stated",IF(G18&lt;TODAY(),"Expired",IF(G18&lt;=TODAY()+7,"Expiring ≤7 Days",IF(G18&lt;=TODAY()+30,"Expiring 8–30 Days","Active")))))</x:f>
        <x:v>Active</x:v>
      </x:c>
      <x:c r="J18" s="4" t="s">
        <x:v>85</x:v>
      </x:c>
      <x:c r="K18" s="4" t="s">
        <x:v>86</x:v>
      </x:c>
      <x:c r="L18" s="4" t="s">
        <x:v>77</x:v>
      </x:c>
      <x:c r="M18" s="9" t="str">
        <x:f t="shared" si="4">IF(C18="","",IF(N18&lt;&gt;"",N18,IF(O18&lt;&gt;"",O18,IF(P18&lt;&gt;"",P18,IF(Q18&lt;&gt;"",Q18,IF(R18&lt;&gt;"",R18,""))))))</x:f>
        <x:v>https://stcbank.com.sa/en/web/guest/w/boost-your-health</x:v>
      </x:c>
      <x:c r="N18" s="4" t="s">
        <x:v>87</x:v>
      </x:c>
      <x:c r="O18" s="4"/>
      <x:c r="P18" s="4"/>
      <x:c r="Q18" s="4"/>
      <x:c r="R18" s="4"/>
      <x:c r="S18" s="4" t="str">
        <x:v>Official page explicitly states validity through 30 September 2026. Discount code STCB applies.</x:v>
      </x:c>
      <x:c r="T18" s="5" t="n">
        <x:v>46240</x:v>
      </x:c>
      <x:c r="U18" s="35" t="str">
        <x:f t="shared" si="3">IF(C18="","",IF(COUNTA(O18:R18)=0,"No direct social post verified",IF(O18&lt;&gt;"","Instagram","")&amp;IF(AND(O18&lt;&gt;"",OR(P18&lt;&gt;"",Q18&lt;&gt;"",R18&lt;&gt;"")),", ","")&amp;IF(P18&lt;&gt;"","X","")&amp;IF(AND(P18&lt;&gt;"",OR(Q18&lt;&gt;"",R18&lt;&gt;"")),", ","")&amp;IF(Q18&lt;&gt;"","Facebook","")&amp;IF(AND(Q18&lt;&gt;"",R18&lt;&gt;""),", ","")&amp;IF(R18&lt;&gt;"","TikTok","")))</x:f>
        <x:v>No direct social post verified</x:v>
      </x:c>
    </x:row>
    <x:row r="19" ht="46.650001525878906" customHeight="1">
      <x:c r="A19" s="8" t="n">
        <x:f t="shared" si="0">IF(C19="","",ROW()-8)</x:f>
        <x:v>11</x:v>
      </x:c>
      <x:c r="B19" s="4" t="s">
        <x:v>55</x:v>
      </x:c>
      <x:c r="C19" s="4" t="s">
        <x:v>88</x:v>
      </x:c>
      <x:c r="D19" s="4" t="s">
        <x:v>89</x:v>
      </x:c>
      <x:c r="E19" s="5"/>
      <x:c r="F19" s="5"/>
      <x:c r="G19" s="5" t="n">
        <x:v>46295</x:v>
      </x:c>
      <x:c r="H19" s="7" t="n">
        <x:f t="shared" si="1">IF(OR(C19="",G19=""),"",G19-TODAY())</x:f>
        <x:v>35</x:v>
      </x:c>
      <x:c r="I19" s="6" t="str">
        <x:f t="shared" si="2">IF(C19="","",IF(G19="","End Date Not Stated",IF(G19&lt;TODAY(),"Expired",IF(G19&lt;=TODAY()+7,"Expiring ≤7 Days",IF(G19&lt;=TODAY()+30,"Expiring 8–30 Days","Active")))))</x:f>
        <x:v>Active</x:v>
      </x:c>
      <x:c r="J19" s="4" t="s">
        <x:v>90</x:v>
      </x:c>
      <x:c r="K19" s="4" t="s">
        <x:v>91</x:v>
      </x:c>
      <x:c r="L19" s="4" t="s">
        <x:v>77</x:v>
      </x:c>
      <x:c r="M19" s="9" t="str">
        <x:f t="shared" si="4">IF(C19="","",IF(N19&lt;&gt;"",N19,IF(O19&lt;&gt;"",O19,IF(P19&lt;&gt;"",P19,IF(Q19&lt;&gt;"",Q19,IF(R19&lt;&gt;"",R19,""))))))</x:f>
        <x:v>https://stcbank.com.sa/en/web/guest/w/shop-workout-and-save-with-10-off-on-gosport</x:v>
      </x:c>
      <x:c r="N19" s="4" t="s">
        <x:v>92</x:v>
      </x:c>
      <x:c r="O19" s="4"/>
      <x:c r="P19" s="4"/>
      <x:c r="Q19" s="4"/>
      <x:c r="R19" s="4"/>
      <x:c r="S19" s="4" t="str">
        <x:v>Official page explicitly states validity through 30 September 2026. Discount code STCB applies.</x:v>
      </x:c>
      <x:c r="T19" s="5" t="n">
        <x:v>46240</x:v>
      </x:c>
      <x:c r="U19" s="35" t="str">
        <x:f t="shared" si="3">IF(C19="","",IF(COUNTA(O19:R19)=0,"No direct social post verified",IF(O19&lt;&gt;"","Instagram","")&amp;IF(AND(O19&lt;&gt;"",OR(P19&lt;&gt;"",Q19&lt;&gt;"",R19&lt;&gt;"")),", ","")&amp;IF(P19&lt;&gt;"","X","")&amp;IF(AND(P19&lt;&gt;"",OR(Q19&lt;&gt;"",R19&lt;&gt;"")),", ","")&amp;IF(Q19&lt;&gt;"","Facebook","")&amp;IF(AND(Q19&lt;&gt;"",R19&lt;&gt;""),", ","")&amp;IF(R19&lt;&gt;"","TikTok","")))</x:f>
        <x:v>No direct social post verified</x:v>
      </x:c>
    </x:row>
    <x:row r="20" ht="46.650001525878906" customHeight="1">
      <x:c r="A20" s="8" t="n">
        <x:f t="shared" si="0">IF(C20="","",ROW()-8)</x:f>
        <x:v>12</x:v>
      </x:c>
      <x:c r="B20" s="4" t="s">
        <x:v>55</x:v>
      </x:c>
      <x:c r="C20" s="4" t="s">
        <x:v>93</x:v>
      </x:c>
      <x:c r="D20" s="4" t="s">
        <x:v>94</x:v>
      </x:c>
      <x:c r="E20" s="5"/>
      <x:c r="F20" s="5"/>
      <x:c r="G20" s="5" t="n">
        <x:v>46295</x:v>
      </x:c>
      <x:c r="H20" s="7" t="n">
        <x:f t="shared" si="1">IF(OR(C20="",G20=""),"",G20-TODAY())</x:f>
        <x:v>35</x:v>
      </x:c>
      <x:c r="I20" s="6" t="str">
        <x:f t="shared" si="2">IF(C20="","",IF(G20="","End Date Not Stated",IF(G20&lt;TODAY(),"Expired",IF(G20&lt;=TODAY()+7,"Expiring ≤7 Days",IF(G20&lt;=TODAY()+30,"Expiring 8–30 Days","Active")))))</x:f>
        <x:v>Active</x:v>
      </x:c>
      <x:c r="J20" s="4" t="s">
        <x:v>95</x:v>
      </x:c>
      <x:c r="K20" s="4" t="s">
        <x:v>96</x:v>
      </x:c>
      <x:c r="L20" s="4" t="s">
        <x:v>97</x:v>
      </x:c>
      <x:c r="M20" s="9" t="str">
        <x:f t="shared" si="4">IF(C20="","",IF(N20&lt;&gt;"",N20,IF(O20&lt;&gt;"",O20,IF(P20&lt;&gt;"",P20,IF(Q20&lt;&gt;"",Q20,IF(R20&lt;&gt;"",R20,""))))))</x:f>
        <x:v>https://stcbank.com.sa/en/web/guest/w/iherb-offer</x:v>
      </x:c>
      <x:c r="N20" s="4" t="s">
        <x:v>98</x:v>
      </x:c>
      <x:c r="O20" s="4"/>
      <x:c r="P20" s="4"/>
      <x:c r="Q20" s="4"/>
      <x:c r="R20" s="4"/>
      <x:c r="S20" s="4" t="str">
        <x:v>Official page explicitly states validity through 30 September 2026.</x:v>
      </x:c>
      <x:c r="T20" s="5" t="n">
        <x:v>46240</x:v>
      </x:c>
      <x:c r="U20" s="35" t="str">
        <x:f t="shared" si="3">IF(C20="","",IF(COUNTA(O20:R20)=0,"No direct social post verified",IF(O20&lt;&gt;"","Instagram","")&amp;IF(AND(O20&lt;&gt;"",OR(P20&lt;&gt;"",Q20&lt;&gt;"",R20&lt;&gt;"")),", ","")&amp;IF(P20&lt;&gt;"","X","")&amp;IF(AND(P20&lt;&gt;"",OR(Q20&lt;&gt;"",R20&lt;&gt;"")),", ","")&amp;IF(Q20&lt;&gt;"","Facebook","")&amp;IF(AND(Q20&lt;&gt;"",R20&lt;&gt;""),", ","")&amp;IF(R20&lt;&gt;"","TikTok","")))</x:f>
        <x:v>No direct social post verified</x:v>
      </x:c>
    </x:row>
    <x:row r="21" ht="46.650001525878906" customHeight="1">
      <x:c r="A21" s="8" t="n">
        <x:f t="shared" si="0">IF(C21="","",ROW()-8)</x:f>
        <x:v>13</x:v>
      </x:c>
      <x:c r="B21" s="4" t="s">
        <x:v>55</x:v>
      </x:c>
      <x:c r="C21" s="4" t="s">
        <x:v>99</x:v>
      </x:c>
      <x:c r="D21" s="4" t="s">
        <x:v>100</x:v>
      </x:c>
      <x:c r="E21" s="5"/>
      <x:c r="F21" s="5"/>
      <x:c r="G21" s="5" t="n">
        <x:v>46752</x:v>
      </x:c>
      <x:c r="H21" s="7" t="n">
        <x:f t="shared" si="1">IF(OR(C21="",G21=""),"",G21-TODAY())</x:f>
        <x:v>492</x:v>
      </x:c>
      <x:c r="I21" s="6" t="str">
        <x:f t="shared" si="2">IF(C21="","",IF(G21="","End Date Not Stated",IF(G21&lt;TODAY(),"Expired",IF(G21&lt;=TODAY()+7,"Expiring ≤7 Days",IF(G21&lt;=TODAY()+30,"Expiring 8–30 Days","Active")))))</x:f>
        <x:v>Active</x:v>
      </x:c>
      <x:c r="J21" s="4" t="s">
        <x:v>101</x:v>
      </x:c>
      <x:c r="K21" s="4" t="s">
        <x:v>102</x:v>
      </x:c>
      <x:c r="L21" s="4" t="s">
        <x:v>60</x:v>
      </x:c>
      <x:c r="M21" s="9" t="str">
        <x:f t="shared" si="4">IF(C21="","",IF(N21&lt;&gt;"",N21,IF(O21&lt;&gt;"",O21,IF(P21&lt;&gt;"",P21,IF(Q21&lt;&gt;"",Q21,IF(R21&lt;&gt;"",R21,""))))))</x:f>
        <x:v>https://stcbank.com.sa/en/web/guest/w/alothaim-entertainment</x:v>
      </x:c>
      <x:c r="N21" s="4" t="s">
        <x:v>103</x:v>
      </x:c>
      <x:c r="O21" s="4"/>
      <x:c r="P21" s="4"/>
      <x:c r="Q21" s="4"/>
      <x:c r="R21" s="4"/>
      <x:c r="S21" s="4" t="str">
        <x:v>Official page now explicitly states validity through 31 December 2027. Offer mechanics vary by Al Othaim Entertainment destination.</x:v>
      </x:c>
      <x:c r="T21" s="5" t="n">
        <x:v>46240</x:v>
      </x:c>
      <x:c r="U21" s="35" t="str">
        <x:f t="shared" si="3">IF(C21="","",IF(COUNTA(O21:R21)=0,"No direct social post verified",IF(O21&lt;&gt;"","Instagram","")&amp;IF(AND(O21&lt;&gt;"",OR(P21&lt;&gt;"",Q21&lt;&gt;"",R21&lt;&gt;"")),", ","")&amp;IF(P21&lt;&gt;"","X","")&amp;IF(AND(P21&lt;&gt;"",OR(Q21&lt;&gt;"",R21&lt;&gt;"")),", ","")&amp;IF(Q21&lt;&gt;"","Facebook","")&amp;IF(AND(Q21&lt;&gt;"",R21&lt;&gt;""),", ","")&amp;IF(R21&lt;&gt;"","TikTok","")))</x:f>
        <x:v>No direct social post verified</x:v>
      </x:c>
    </x:row>
    <x:row r="22" ht="46.650001525878906" customHeight="1">
      <x:c r="A22" s="8" t="n">
        <x:f t="shared" si="0">IF(C22="","",ROW()-8)</x:f>
        <x:v>14</x:v>
      </x:c>
      <x:c r="B22" s="4" t="s">
        <x:v>55</x:v>
      </x:c>
      <x:c r="C22" s="4" t="s">
        <x:v>104</x:v>
      </x:c>
      <x:c r="D22" s="4" t="s">
        <x:v>105</x:v>
      </x:c>
      <x:c r="E22" s="5"/>
      <x:c r="F22" s="5"/>
      <x:c r="G22" s="5" t="n">
        <x:v>46752</x:v>
      </x:c>
      <x:c r="H22" s="7" t="n">
        <x:f t="shared" si="1">IF(OR(C22="",G22=""),"",G22-TODAY())</x:f>
        <x:v>492</x:v>
      </x:c>
      <x:c r="I22" s="6" t="str">
        <x:f t="shared" si="2">IF(C22="","",IF(G22="","End Date Not Stated",IF(G22&lt;TODAY(),"Expired",IF(G22&lt;=TODAY()+7,"Expiring ≤7 Days",IF(G22&lt;=TODAY()+30,"Expiring 8–30 Days","Active")))))</x:f>
        <x:v>Active</x:v>
      </x:c>
      <x:c r="J22" s="4" t="s">
        <x:v>106</x:v>
      </x:c>
      <x:c r="K22" s="4" t="s">
        <x:v>107</x:v>
      </x:c>
      <x:c r="L22" s="4" t="s">
        <x:v>108</x:v>
      </x:c>
      <x:c r="M22" s="9" t="str">
        <x:f t="shared" si="4">IF(C22="","",IF(N22&lt;&gt;"",N22,IF(O22&lt;&gt;"",O22,IF(P22&lt;&gt;"",P22,IF(Q22&lt;&gt;"",Q22,IF(R22&lt;&gt;"",R22,""))))))</x:f>
        <x:v>https://stcbank.com.sa/en/web/guest/w/yelo</x:v>
      </x:c>
      <x:c r="N22" s="4" t="s">
        <x:v>109</x:v>
      </x:c>
      <x:c r="O22" s="4"/>
      <x:c r="P22" s="4"/>
      <x:c r="Q22" s="4"/>
      <x:c r="R22" s="4"/>
      <x:c r="S22" s="4" t="str">
        <x:v>Official page now explicitly states validity through 31 December 2027. Digital-wallet payments are excluded.</x:v>
      </x:c>
      <x:c r="T22" s="5" t="n">
        <x:v>46240</x:v>
      </x:c>
      <x:c r="U22" s="35" t="str">
        <x:f t="shared" si="3">IF(C22="","",IF(COUNTA(O22:R22)=0,"No direct social post verified",IF(O22&lt;&gt;"","Instagram","")&amp;IF(AND(O22&lt;&gt;"",OR(P22&lt;&gt;"",Q22&lt;&gt;"",R22&lt;&gt;"")),", ","")&amp;IF(P22&lt;&gt;"","X","")&amp;IF(AND(P22&lt;&gt;"",OR(Q22&lt;&gt;"",R22&lt;&gt;"")),", ","")&amp;IF(Q22&lt;&gt;"","Facebook","")&amp;IF(AND(Q22&lt;&gt;"",R22&lt;&gt;""),", ","")&amp;IF(R22&lt;&gt;"","TikTok","")))</x:f>
        <x:v>No direct social post verified</x:v>
      </x:c>
    </x:row>
    <x:row r="23" ht="46.650001525878906" customHeight="1">
      <x:c r="A23" s="8" t="n">
        <x:f t="shared" si="0">IF(C23="","",ROW()-8)</x:f>
        <x:v>15</x:v>
      </x:c>
      <x:c r="B23" s="4" t="s">
        <x:v>110</x:v>
      </x:c>
      <x:c r="C23" s="4" t="s">
        <x:v>111</x:v>
      </x:c>
      <x:c r="D23" s="4" t="s">
        <x:v>112</x:v>
      </x:c>
      <x:c r="E23" s="5"/>
      <x:c r="F23" s="5">
        <x:v>46184</x:v>
      </x:c>
      <x:c r="G23" s="5">
        <x:v>46222</x:v>
      </x:c>
      <x:c r="H23" s="7" t="n">
        <x:f t="shared" si="1">IF(OR(C23="",G23=""),"",G23-TODAY())</x:f>
        <x:v>-38</x:v>
      </x:c>
      <x:c r="I23" s="6" t="str">
        <x:f t="shared" si="2">IF(C23="","",IF(G23="","End Date Not Stated",IF(G23&lt;TODAY(),"Expired",IF(G23&lt;=TODAY()+7,"Expiring ≤7 Days",IF(G23&lt;=TODAY()+30,"Expiring 8–30 Days","Active")))))</x:f>
        <x:v>Expired</x:v>
      </x:c>
      <x:c r="J23" s="4" t="s">
        <x:v>113</x:v>
      </x:c>
      <x:c r="K23" s="4" t="s">
        <x:v>114</x:v>
      </x:c>
      <x:c r="L23" s="4" t="s">
        <x:v>115</x:v>
      </x:c>
      <x:c r="M23" s="9" t="str">
        <x:f t="shared" si="4">IF(C23="","",IF(N23&lt;&gt;"",N23,IF(O23&lt;&gt;"",O23,IF(P23&lt;&gt;"",P23,IF(Q23&lt;&gt;"",Q23,IF(R23&lt;&gt;"",R23,""))))))</x:f>
        <x:v>https://stcbank.com.sa/en/web/guest/w/stcbank-championship</x:v>
      </x:c>
      <x:c r="N23" s="4" t="s">
        <x:v>116</x:v>
      </x:c>
      <x:c r="O23" s="4" t="s">
        <x:v>117</x:v>
      </x:c>
      <x:c r="P23" s="4" t="s">
        <x:v>118</x:v>
      </x:c>
      <x:c r="Q23" s="63" t="s">
        <x:v>119</x:v>
      </x:c>
      <x:c r="R23" s="63" t="s">
        <x:v>120</x:v>
      </x:c>
      <x:c r="S23" s="4" t="s">
        <x:v>121</x:v>
      </x:c>
      <x:c r="T23" s="5" t="n">
        <x:v>46240</x:v>
      </x:c>
      <x:c r="U23" s="35" t="str">
        <x:f t="shared" si="3">IF(C23="","",IF(COUNTA(O23:R23)=0,"No direct social post verified",IF(O23&lt;&gt;"","Instagram","")&amp;IF(AND(O23&lt;&gt;"",OR(P23&lt;&gt;"",Q23&lt;&gt;"",R23&lt;&gt;"")),", ","")&amp;IF(P23&lt;&gt;"","X","")&amp;IF(AND(P23&lt;&gt;"",OR(Q23&lt;&gt;"",R23&lt;&gt;"")),", ","")&amp;IF(Q23&lt;&gt;"","Facebook","")&amp;IF(AND(Q23&lt;&gt;"",R23&lt;&gt;""),", ","")&amp;IF(R23&lt;&gt;"","TikTok","")))</x:f>
        <x:v>Instagram, X, Facebook, TikTok</x:v>
      </x:c>
    </x:row>
    <x:row r="24" ht="46.650001525878906" customHeight="1">
      <x:c r="A24" s="8" t="n">
        <x:f t="shared" si="0">IF(C24="","",ROW()-8)</x:f>
        <x:v>16</x:v>
      </x:c>
      <x:c r="B24" s="4" t="str">
        <x:v>Card</x:v>
      </x:c>
      <x:c r="C24" s="4" t="str">
        <x:v>Targeted Cash Reward on International Purchases</x:v>
      </x:c>
      <x:c r="D24" s="4" t="str">
        <x:v>Selected customers can earn a cash amount after meeting the international-spend requirement stated in an STC Bank SMS.</x:v>
      </x:c>
      <x:c r="E24" s="5"/>
      <x:c r="F24" s="5"/>
      <x:c r="G24" s="5" t="n">
        <x:v>46297</x:v>
      </x:c>
      <x:c r="H24" s="7" t="n">
        <x:f t="shared" si="1">IF(OR(C24="",G24=""),"",G24-TODAY())</x:f>
        <x:v>37</x:v>
      </x:c>
      <x:c r="I24" s="6" t="str">
        <x:f t="shared" si="2">IF(C24="","",IF(G24="","End Date Not Stated",IF(G24&lt;TODAY(),"Expired",IF(G24&lt;=TODAY()+7,"Expiring ≤7 Days",IF(G24&lt;=TODAY()+30,"Expiring 8–30 Days","Active")))))</x:f>
        <x:v>Active</x:v>
      </x:c>
      <x:c r="J24" s="4" t="str">
        <x:v>International POS and e-commerce purchases</x:v>
      </x:c>
      <x:c r="K24" s="4" t="str">
        <x:v>Cash amount specified in the customer SMS after meeting the stated minimum spend</x:v>
      </x:c>
      <x:c r="L24" s="4" t="str">
        <x:v>Selected customers who received the offer SMS; STC Bank Visa payment cards (Classic, Platinum, Signature), digital or physical</x:v>
      </x:c>
      <x:c r="M24" s="9" t="str">
        <x:f t="shared" si="4">IF(C24="","",IF(N24&lt;&gt;"",N24,IF(O24&lt;&gt;"",O24,IF(P24&lt;&gt;"",P24,IF(Q24&lt;&gt;"",Q24,IF(R24&lt;&gt;"",R24,""))))))</x:f>
        <x:v>https://stcbank.com.sa/en/web/guest/w/blt-cash</x:v>
      </x:c>
      <x:c r="N24" s="4" t="str">
        <x:v>https://stcbank.com.sa/en/web/guest/w/blt-cash</x:v>
      </x:c>
      <x:c r="O24" s="4"/>
      <x:c r="P24" s="4"/>
      <x:c r="Q24" s="4"/>
      <x:c r="R24" s="4"/>
      <x:c r="S24" s="4" t="str">
        <x:v>Offer applies once per selected customer. Cash withdrawals and wallet/account top-ups are excluded; international purchases through supported e-wallets are eligible.</x:v>
      </x:c>
      <x:c r="T24" s="5" t="n">
        <x:v>46240</x:v>
      </x:c>
      <x:c r="U24" s="35" t="str">
        <x:f t="shared" si="3">IF(C24="","",IF(COUNTA(O24:R24)=0,"No direct social post verified",IF(O24&lt;&gt;"","Instagram","")&amp;IF(AND(O24&lt;&gt;"",OR(P24&lt;&gt;"",Q24&lt;&gt;"",R24&lt;&gt;"")),", ","")&amp;IF(P24&lt;&gt;"","X","")&amp;IF(AND(P24&lt;&gt;"",OR(Q24&lt;&gt;"",R24&lt;&gt;"")),", ","")&amp;IF(Q24&lt;&gt;"","Facebook","")&amp;IF(AND(Q24&lt;&gt;"",R24&lt;&gt;""),", ","")&amp;IF(R24&lt;&gt;"","TikTok","")))</x:f>
        <x:v>No direct social post verified</x:v>
      </x:c>
    </x:row>
    <x:row r="25" ht="46.650001525878906" customHeight="1">
      <x:c r="A25" s="8" t="str">
        <x:f t="shared" si="0"/>
      </x:c>
      <x:c r="B25" s="4"/>
      <x:c r="C25" s="4"/>
      <x:c r="D25" s="4"/>
      <x:c r="E25" s="5"/>
      <x:c r="F25" s="5"/>
      <x:c r="G25" s="5"/>
      <x:c r="H25" s="7" t="str">
        <x:f t="shared" si="1"/>
      </x:c>
      <x:c r="I25" s="6" t="str">
        <x:f t="shared" si="2"/>
      </x:c>
      <x:c r="J25" s="4"/>
      <x:c r="K25" s="4"/>
      <x:c r="L25" s="4"/>
      <x:c r="M25" s="9" t="str">
        <x:f t="shared" si="4"/>
      </x:c>
      <x:c r="N25" s="4"/>
      <x:c r="O25" s="4"/>
      <x:c r="P25" s="4"/>
      <x:c r="Q25" s="4"/>
      <x:c r="R25" s="4"/>
      <x:c r="S25" s="4"/>
      <x:c r="T25" s="5"/>
      <x:c r="U25" s="35" t="str">
        <x:f t="shared" si="3"/>
      </x:c>
    </x:row>
    <x:row r="26" ht="46.650001525878906" customHeight="1">
      <x:c r="A26" s="8" t="str">
        <x:f t="shared" si="0"/>
      </x:c>
      <x:c r="B26" s="4"/>
      <x:c r="C26" s="4"/>
      <x:c r="D26" s="4"/>
      <x:c r="E26" s="5"/>
      <x:c r="F26" s="5"/>
      <x:c r="G26" s="5"/>
      <x:c r="H26" s="7" t="str">
        <x:f t="shared" si="1"/>
      </x:c>
      <x:c r="I26" s="6" t="str">
        <x:f t="shared" si="2"/>
      </x:c>
      <x:c r="J26" s="4"/>
      <x:c r="K26" s="4"/>
      <x:c r="L26" s="4"/>
      <x:c r="M26" s="9" t="str">
        <x:f t="shared" si="4"/>
      </x:c>
      <x:c r="N26" s="4"/>
      <x:c r="O26" s="4"/>
      <x:c r="P26" s="4"/>
      <x:c r="Q26" s="4"/>
      <x:c r="R26" s="4"/>
      <x:c r="S26" s="4"/>
      <x:c r="T26" s="5"/>
      <x:c r="U26" s="35" t="str">
        <x:f t="shared" si="3"/>
      </x:c>
    </x:row>
    <x:row r="27" ht="46.650001525878906" customHeight="1">
      <x:c r="A27" s="8" t="str">
        <x:f t="shared" si="0"/>
      </x:c>
      <x:c r="B27" s="4"/>
      <x:c r="C27" s="4"/>
      <x:c r="D27" s="4"/>
      <x:c r="E27" s="5"/>
      <x:c r="F27" s="5"/>
      <x:c r="G27" s="5"/>
      <x:c r="H27" s="7" t="str">
        <x:f t="shared" si="1"/>
      </x:c>
      <x:c r="I27" s="6" t="str">
        <x:f t="shared" si="2"/>
      </x:c>
      <x:c r="J27" s="4"/>
      <x:c r="K27" s="4"/>
      <x:c r="L27" s="4"/>
      <x:c r="M27" s="9" t="str">
        <x:f t="shared" si="4"/>
      </x:c>
      <x:c r="N27" s="4"/>
      <x:c r="O27" s="4"/>
      <x:c r="P27" s="4"/>
      <x:c r="Q27" s="4"/>
      <x:c r="R27" s="4"/>
      <x:c r="S27" s="4"/>
      <x:c r="T27" s="5"/>
      <x:c r="U27" s="35" t="str">
        <x:f t="shared" si="3"/>
      </x:c>
    </x:row>
    <x:row r="28" ht="46.650001525878906" customHeight="1">
      <x:c r="A28" s="8" t="str">
        <x:f t="shared" si="0"/>
      </x:c>
      <x:c r="B28" s="4"/>
      <x:c r="C28" s="4"/>
      <x:c r="D28" s="4"/>
      <x:c r="E28" s="5"/>
      <x:c r="F28" s="5"/>
      <x:c r="G28" s="5"/>
      <x:c r="H28" s="7" t="str">
        <x:f t="shared" si="1"/>
      </x:c>
      <x:c r="I28" s="6" t="str">
        <x:f t="shared" si="2"/>
      </x:c>
      <x:c r="J28" s="4"/>
      <x:c r="K28" s="4"/>
      <x:c r="L28" s="4"/>
      <x:c r="M28" s="9" t="str">
        <x:f t="shared" si="4"/>
      </x:c>
      <x:c r="N28" s="4"/>
      <x:c r="O28" s="4"/>
      <x:c r="P28" s="4"/>
      <x:c r="Q28" s="4"/>
      <x:c r="R28" s="4"/>
      <x:c r="S28" s="4"/>
      <x:c r="T28" s="5"/>
      <x:c r="U28" s="35" t="str">
        <x:f t="shared" si="3"/>
      </x:c>
    </x:row>
    <x:row r="29" ht="46.650001525878906" customHeight="1">
      <x:c r="A29" s="8" t="str">
        <x:f t="shared" si="0"/>
      </x:c>
      <x:c r="B29" s="4"/>
      <x:c r="C29" s="4"/>
      <x:c r="D29" s="4"/>
      <x:c r="E29" s="5"/>
      <x:c r="F29" s="5"/>
      <x:c r="G29" s="5"/>
      <x:c r="H29" s="7" t="str">
        <x:f t="shared" si="1"/>
      </x:c>
      <x:c r="I29" s="6" t="str">
        <x:f t="shared" si="2"/>
      </x:c>
      <x:c r="J29" s="4"/>
      <x:c r="K29" s="4"/>
      <x:c r="L29" s="4"/>
      <x:c r="M29" s="9" t="str">
        <x:f t="shared" si="4"/>
      </x:c>
      <x:c r="N29" s="4"/>
      <x:c r="O29" s="4"/>
      <x:c r="P29" s="4"/>
      <x:c r="Q29" s="4"/>
      <x:c r="R29" s="4"/>
      <x:c r="S29" s="4"/>
      <x:c r="T29" s="5"/>
      <x:c r="U29" s="35" t="str">
        <x:f t="shared" si="3"/>
      </x:c>
    </x:row>
    <x:row r="30" ht="46.650001525878906" customHeight="1">
      <x:c r="A30" s="8" t="str">
        <x:f t="shared" si="0"/>
      </x:c>
      <x:c r="B30" s="4"/>
      <x:c r="C30" s="4"/>
      <x:c r="D30" s="4"/>
      <x:c r="E30" s="5"/>
      <x:c r="F30" s="5"/>
      <x:c r="G30" s="5"/>
      <x:c r="H30" s="7" t="str">
        <x:f t="shared" si="1"/>
      </x:c>
      <x:c r="I30" s="6" t="str">
        <x:f t="shared" si="2"/>
      </x:c>
      <x:c r="J30" s="4"/>
      <x:c r="K30" s="4"/>
      <x:c r="L30" s="4"/>
      <x:c r="M30" s="9" t="str">
        <x:f t="shared" si="4"/>
      </x:c>
      <x:c r="N30" s="4"/>
      <x:c r="O30" s="4"/>
      <x:c r="P30" s="4"/>
      <x:c r="Q30" s="4"/>
      <x:c r="R30" s="4"/>
      <x:c r="S30" s="4"/>
      <x:c r="T30" s="5"/>
      <x:c r="U30" s="35" t="str">
        <x:f t="shared" si="3"/>
      </x:c>
    </x:row>
    <x:row r="31" ht="46.650001525878906" customHeight="1">
      <x:c r="A31" s="8" t="str">
        <x:f t="shared" si="0"/>
      </x:c>
      <x:c r="B31" s="4"/>
      <x:c r="C31" s="4"/>
      <x:c r="D31" s="4"/>
      <x:c r="E31" s="5"/>
      <x:c r="F31" s="5"/>
      <x:c r="G31" s="5"/>
      <x:c r="H31" s="7" t="str">
        <x:f t="shared" si="1"/>
      </x:c>
      <x:c r="I31" s="6" t="str">
        <x:f t="shared" si="2"/>
      </x:c>
      <x:c r="J31" s="4"/>
      <x:c r="K31" s="4"/>
      <x:c r="L31" s="4"/>
      <x:c r="M31" s="9" t="str">
        <x:f t="shared" si="4"/>
      </x:c>
      <x:c r="N31" s="4"/>
      <x:c r="O31" s="4"/>
      <x:c r="P31" s="4"/>
      <x:c r="Q31" s="4"/>
      <x:c r="R31" s="4"/>
      <x:c r="S31" s="4"/>
      <x:c r="T31" s="5"/>
      <x:c r="U31" s="35" t="str">
        <x:f t="shared" si="3"/>
      </x:c>
    </x:row>
    <x:row r="32" ht="46.650001525878906" customHeight="1">
      <x:c r="A32" s="8" t="str">
        <x:f t="shared" si="0"/>
      </x:c>
      <x:c r="B32" s="4"/>
      <x:c r="C32" s="4"/>
      <x:c r="D32" s="4"/>
      <x:c r="E32" s="5"/>
      <x:c r="F32" s="5"/>
      <x:c r="G32" s="5"/>
      <x:c r="H32" s="7" t="str">
        <x:f t="shared" si="1"/>
      </x:c>
      <x:c r="I32" s="6" t="str">
        <x:f t="shared" si="2"/>
      </x:c>
      <x:c r="J32" s="4"/>
      <x:c r="K32" s="4"/>
      <x:c r="L32" s="4"/>
      <x:c r="M32" s="9" t="str">
        <x:f t="shared" si="4"/>
      </x:c>
      <x:c r="N32" s="4"/>
      <x:c r="O32" s="4"/>
      <x:c r="P32" s="4"/>
      <x:c r="Q32" s="4"/>
      <x:c r="R32" s="4"/>
      <x:c r="S32" s="4"/>
      <x:c r="T32" s="5"/>
      <x:c r="U32" s="35" t="str">
        <x:f t="shared" si="3"/>
      </x:c>
    </x:row>
    <x:row r="33" ht="46.650001525878906" customHeight="1">
      <x:c r="A33" s="8" t="str">
        <x:f t="shared" si="0"/>
      </x:c>
      <x:c r="B33" s="4"/>
      <x:c r="C33" s="4"/>
      <x:c r="D33" s="4"/>
      <x:c r="E33" s="5"/>
      <x:c r="F33" s="5"/>
      <x:c r="G33" s="5"/>
      <x:c r="H33" s="7" t="str">
        <x:f t="shared" si="1"/>
      </x:c>
      <x:c r="I33" s="6" t="str">
        <x:f t="shared" si="2"/>
      </x:c>
      <x:c r="J33" s="4"/>
      <x:c r="K33" s="4"/>
      <x:c r="L33" s="4"/>
      <x:c r="M33" s="9" t="str">
        <x:f t="shared" si="4"/>
      </x:c>
      <x:c r="N33" s="4"/>
      <x:c r="O33" s="4"/>
      <x:c r="P33" s="4"/>
      <x:c r="Q33" s="4"/>
      <x:c r="R33" s="4"/>
      <x:c r="S33" s="4"/>
      <x:c r="T33" s="5"/>
      <x:c r="U33" s="35" t="str">
        <x:f t="shared" si="3"/>
      </x:c>
    </x:row>
    <x:row r="34" ht="46.650001525878906" customHeight="1">
      <x:c r="A34" s="8" t="str">
        <x:f t="shared" si="0"/>
      </x:c>
      <x:c r="B34" s="4"/>
      <x:c r="C34" s="4"/>
      <x:c r="D34" s="4"/>
      <x:c r="E34" s="5"/>
      <x:c r="F34" s="5"/>
      <x:c r="G34" s="5"/>
      <x:c r="H34" s="7" t="str">
        <x:f t="shared" si="1"/>
      </x:c>
      <x:c r="I34" s="6" t="str">
        <x:f t="shared" si="2"/>
      </x:c>
      <x:c r="J34" s="4"/>
      <x:c r="K34" s="4"/>
      <x:c r="L34" s="4"/>
      <x:c r="M34" s="9" t="str">
        <x:f t="shared" si="4"/>
      </x:c>
      <x:c r="N34" s="4"/>
      <x:c r="O34" s="4"/>
      <x:c r="P34" s="4"/>
      <x:c r="Q34" s="4"/>
      <x:c r="R34" s="4"/>
      <x:c r="S34" s="4"/>
      <x:c r="T34" s="5"/>
      <x:c r="U34" s="35" t="str">
        <x:f t="shared" si="3"/>
      </x:c>
    </x:row>
    <x:row r="35" ht="46.650001525878906" customHeight="1">
      <x:c r="A35" s="8" t="str">
        <x:f t="shared" si="0"/>
      </x:c>
      <x:c r="B35" s="4"/>
      <x:c r="C35" s="4"/>
      <x:c r="D35" s="4"/>
      <x:c r="E35" s="5"/>
      <x:c r="F35" s="5"/>
      <x:c r="G35" s="5"/>
      <x:c r="H35" s="7" t="str">
        <x:f t="shared" si="1"/>
      </x:c>
      <x:c r="I35" s="6" t="str">
        <x:f t="shared" si="2"/>
      </x:c>
      <x:c r="J35" s="4"/>
      <x:c r="K35" s="4"/>
      <x:c r="L35" s="4"/>
      <x:c r="M35" s="9" t="str">
        <x:f t="shared" si="4"/>
      </x:c>
      <x:c r="N35" s="4"/>
      <x:c r="O35" s="4"/>
      <x:c r="P35" s="4"/>
      <x:c r="Q35" s="4"/>
      <x:c r="R35" s="4"/>
      <x:c r="S35" s="4"/>
      <x:c r="T35" s="5"/>
      <x:c r="U35" s="35" t="str">
        <x:f t="shared" si="3"/>
      </x:c>
    </x:row>
    <x:row r="36" ht="46.650001525878906" customHeight="1">
      <x:c r="A36" s="8" t="str">
        <x:f t="shared" si="0"/>
      </x:c>
      <x:c r="B36" s="4"/>
      <x:c r="C36" s="4"/>
      <x:c r="D36" s="4"/>
      <x:c r="E36" s="5"/>
      <x:c r="F36" s="5"/>
      <x:c r="G36" s="5"/>
      <x:c r="H36" s="7" t="str">
        <x:f t="shared" si="1"/>
      </x:c>
      <x:c r="I36" s="6" t="str">
        <x:f t="shared" si="2"/>
      </x:c>
      <x:c r="J36" s="4"/>
      <x:c r="K36" s="4"/>
      <x:c r="L36" s="4"/>
      <x:c r="M36" s="9" t="str">
        <x:f t="shared" si="4"/>
      </x:c>
      <x:c r="N36" s="4"/>
      <x:c r="O36" s="4"/>
      <x:c r="P36" s="4"/>
      <x:c r="Q36" s="4"/>
      <x:c r="R36" s="4"/>
      <x:c r="S36" s="4"/>
      <x:c r="T36" s="5"/>
      <x:c r="U36" s="35" t="str">
        <x:f t="shared" si="3"/>
      </x:c>
    </x:row>
    <x:row r="37" ht="46.650001525878906" customHeight="1">
      <x:c r="A37" s="8" t="str">
        <x:f t="shared" si="0"/>
      </x:c>
      <x:c r="B37" s="4"/>
      <x:c r="C37" s="4"/>
      <x:c r="D37" s="4"/>
      <x:c r="E37" s="5"/>
      <x:c r="F37" s="5"/>
      <x:c r="G37" s="5"/>
      <x:c r="H37" s="7" t="str">
        <x:f t="shared" si="1"/>
      </x:c>
      <x:c r="I37" s="6" t="str">
        <x:f t="shared" si="2"/>
      </x:c>
      <x:c r="J37" s="4"/>
      <x:c r="K37" s="4"/>
      <x:c r="L37" s="4"/>
      <x:c r="M37" s="9" t="str">
        <x:f t="shared" si="4"/>
      </x:c>
      <x:c r="N37" s="4"/>
      <x:c r="O37" s="4"/>
      <x:c r="P37" s="4"/>
      <x:c r="Q37" s="4"/>
      <x:c r="R37" s="4"/>
      <x:c r="S37" s="4"/>
      <x:c r="T37" s="5"/>
      <x:c r="U37" s="35" t="str">
        <x:f t="shared" si="3"/>
      </x:c>
    </x:row>
    <x:row r="38" ht="46.650001525878906" customHeight="1">
      <x:c r="A38" s="8" t="str">
        <x:f t="shared" si="0"/>
      </x:c>
      <x:c r="B38" s="4"/>
      <x:c r="C38" s="4"/>
      <x:c r="D38" s="4"/>
      <x:c r="E38" s="5"/>
      <x:c r="F38" s="5"/>
      <x:c r="G38" s="5"/>
      <x:c r="H38" s="7" t="str">
        <x:f t="shared" si="1"/>
      </x:c>
      <x:c r="I38" s="6" t="str">
        <x:f t="shared" si="2"/>
      </x:c>
      <x:c r="J38" s="4"/>
      <x:c r="K38" s="4"/>
      <x:c r="L38" s="4"/>
      <x:c r="M38" s="9" t="str">
        <x:f t="shared" si="4"/>
      </x:c>
      <x:c r="N38" s="4"/>
      <x:c r="O38" s="4"/>
      <x:c r="P38" s="4"/>
      <x:c r="Q38" s="4"/>
      <x:c r="R38" s="4"/>
      <x:c r="S38" s="4"/>
      <x:c r="T38" s="5"/>
      <x:c r="U38" s="35" t="str">
        <x:f t="shared" si="3"/>
      </x:c>
    </x:row>
    <x:row r="39" ht="46.650001525878906" customHeight="1">
      <x:c r="A39" s="8" t="str">
        <x:f t="shared" si="0"/>
      </x:c>
      <x:c r="B39" s="4"/>
      <x:c r="C39" s="4"/>
      <x:c r="D39" s="4"/>
      <x:c r="E39" s="5"/>
      <x:c r="F39" s="5"/>
      <x:c r="G39" s="5"/>
      <x:c r="H39" s="7" t="str">
        <x:f t="shared" si="1"/>
      </x:c>
      <x:c r="I39" s="6" t="str">
        <x:f t="shared" si="2"/>
      </x:c>
      <x:c r="J39" s="4"/>
      <x:c r="K39" s="4"/>
      <x:c r="L39" s="4"/>
      <x:c r="M39" s="9" t="str">
        <x:f t="shared" si="4"/>
      </x:c>
      <x:c r="N39" s="4"/>
      <x:c r="O39" s="4"/>
      <x:c r="P39" s="4"/>
      <x:c r="Q39" s="4"/>
      <x:c r="R39" s="4"/>
      <x:c r="S39" s="4"/>
      <x:c r="T39" s="5"/>
      <x:c r="U39" s="35" t="str">
        <x:f t="shared" si="3"/>
      </x:c>
    </x:row>
    <x:row r="40" ht="46.650001525878906" customHeight="1">
      <x:c r="A40" s="8" t="str">
        <x:f t="shared" si="0"/>
      </x:c>
      <x:c r="B40" s="4"/>
      <x:c r="C40" s="4"/>
      <x:c r="D40" s="4"/>
      <x:c r="E40" s="5"/>
      <x:c r="F40" s="5"/>
      <x:c r="G40" s="5"/>
      <x:c r="H40" s="7" t="str">
        <x:f t="shared" si="1"/>
      </x:c>
      <x:c r="I40" s="6" t="str">
        <x:f t="shared" si="2"/>
      </x:c>
      <x:c r="J40" s="4"/>
      <x:c r="K40" s="4"/>
      <x:c r="L40" s="4"/>
      <x:c r="M40" s="9" t="str">
        <x:f t="shared" si="4"/>
      </x:c>
      <x:c r="N40" s="4"/>
      <x:c r="O40" s="4"/>
      <x:c r="P40" s="4"/>
      <x:c r="Q40" s="4"/>
      <x:c r="R40" s="4"/>
      <x:c r="S40" s="4"/>
      <x:c r="T40" s="5"/>
      <x:c r="U40" s="35" t="str">
        <x:f t="shared" si="3"/>
      </x:c>
    </x:row>
    <x:row r="41" ht="46.650001525878906" customHeight="1">
      <x:c r="A41" s="8" t="str">
        <x:f t="shared" si="0"/>
      </x:c>
      <x:c r="B41" s="4"/>
      <x:c r="C41" s="4"/>
      <x:c r="D41" s="4"/>
      <x:c r="E41" s="5"/>
      <x:c r="F41" s="5"/>
      <x:c r="G41" s="5"/>
      <x:c r="H41" s="7" t="str">
        <x:f t="shared" si="1"/>
      </x:c>
      <x:c r="I41" s="6" t="str">
        <x:f t="shared" si="2"/>
      </x:c>
      <x:c r="J41" s="4"/>
      <x:c r="K41" s="4"/>
      <x:c r="L41" s="4"/>
      <x:c r="M41" s="9" t="str">
        <x:f t="shared" si="4"/>
      </x:c>
      <x:c r="N41" s="4"/>
      <x:c r="O41" s="4"/>
      <x:c r="P41" s="4"/>
      <x:c r="Q41" s="4"/>
      <x:c r="R41" s="4"/>
      <x:c r="S41" s="4"/>
      <x:c r="T41" s="5"/>
      <x:c r="U41" s="35" t="str">
        <x:f t="shared" si="3"/>
      </x:c>
    </x:row>
    <x:row r="42" ht="46.650001525878906" customHeight="1">
      <x:c r="A42" s="8" t="str">
        <x:f t="shared" si="0"/>
      </x:c>
      <x:c r="B42" s="4"/>
      <x:c r="C42" s="4"/>
      <x:c r="D42" s="4"/>
      <x:c r="E42" s="5"/>
      <x:c r="F42" s="5"/>
      <x:c r="G42" s="5"/>
      <x:c r="H42" s="7" t="str">
        <x:f t="shared" si="1"/>
      </x:c>
      <x:c r="I42" s="6" t="str">
        <x:f t="shared" si="2"/>
      </x:c>
      <x:c r="J42" s="4"/>
      <x:c r="K42" s="4"/>
      <x:c r="L42" s="4"/>
      <x:c r="M42" s="9" t="str">
        <x:f t="shared" si="4"/>
      </x:c>
      <x:c r="N42" s="4"/>
      <x:c r="O42" s="4"/>
      <x:c r="P42" s="4"/>
      <x:c r="Q42" s="4"/>
      <x:c r="R42" s="4"/>
      <x:c r="S42" s="4"/>
      <x:c r="T42" s="5"/>
      <x:c r="U42" s="35" t="str">
        <x:f t="shared" si="3"/>
      </x:c>
    </x:row>
    <x:row r="43" ht="46.650001525878906" customHeight="1">
      <x:c r="A43" s="8" t="str">
        <x:f t="shared" si="0"/>
      </x:c>
      <x:c r="B43" s="4"/>
      <x:c r="C43" s="4"/>
      <x:c r="D43" s="4"/>
      <x:c r="E43" s="5"/>
      <x:c r="F43" s="5"/>
      <x:c r="G43" s="5"/>
      <x:c r="H43" s="7" t="str">
        <x:f t="shared" si="1"/>
      </x:c>
      <x:c r="I43" s="6" t="str">
        <x:f t="shared" si="2"/>
      </x:c>
      <x:c r="J43" s="4"/>
      <x:c r="K43" s="4"/>
      <x:c r="L43" s="4"/>
      <x:c r="M43" s="9" t="str">
        <x:f t="shared" si="4"/>
      </x:c>
      <x:c r="N43" s="4"/>
      <x:c r="O43" s="4"/>
      <x:c r="P43" s="4"/>
      <x:c r="Q43" s="4"/>
      <x:c r="R43" s="4"/>
      <x:c r="S43" s="4"/>
      <x:c r="T43" s="5"/>
      <x:c r="U43" s="35" t="str">
        <x:f t="shared" si="3"/>
      </x:c>
    </x:row>
    <x:row r="44" ht="46.650001525878906" customHeight="1">
      <x:c r="A44" s="8" t="str">
        <x:f t="shared" si="0"/>
      </x:c>
      <x:c r="B44" s="4"/>
      <x:c r="C44" s="4"/>
      <x:c r="D44" s="4"/>
      <x:c r="E44" s="5"/>
      <x:c r="F44" s="5"/>
      <x:c r="G44" s="5"/>
      <x:c r="H44" s="7" t="str">
        <x:f t="shared" si="1"/>
      </x:c>
      <x:c r="I44" s="6" t="str">
        <x:f t="shared" si="2"/>
      </x:c>
      <x:c r="J44" s="4"/>
      <x:c r="K44" s="4"/>
      <x:c r="L44" s="4"/>
      <x:c r="M44" s="9" t="str">
        <x:f t="shared" si="4"/>
      </x:c>
      <x:c r="N44" s="4"/>
      <x:c r="O44" s="4"/>
      <x:c r="P44" s="4"/>
      <x:c r="Q44" s="4"/>
      <x:c r="R44" s="4"/>
      <x:c r="S44" s="4"/>
      <x:c r="T44" s="5"/>
      <x:c r="U44" s="35" t="str">
        <x:f t="shared" si="3"/>
      </x:c>
    </x:row>
    <x:row r="45" ht="46.650001525878906" customHeight="1">
      <x:c r="A45" s="8" t="str">
        <x:f t="shared" si="0"/>
      </x:c>
      <x:c r="B45" s="4"/>
      <x:c r="C45" s="4"/>
      <x:c r="D45" s="4"/>
      <x:c r="E45" s="5"/>
      <x:c r="F45" s="5"/>
      <x:c r="G45" s="5"/>
      <x:c r="H45" s="7" t="str">
        <x:f t="shared" si="1"/>
      </x:c>
      <x:c r="I45" s="6" t="str">
        <x:f t="shared" si="2"/>
      </x:c>
      <x:c r="J45" s="4"/>
      <x:c r="K45" s="4"/>
      <x:c r="L45" s="4"/>
      <x:c r="M45" s="9" t="str">
        <x:f t="shared" si="4"/>
      </x:c>
      <x:c r="N45" s="4"/>
      <x:c r="O45" s="4"/>
      <x:c r="P45" s="4"/>
      <x:c r="Q45" s="4"/>
      <x:c r="R45" s="4"/>
      <x:c r="S45" s="4"/>
      <x:c r="T45" s="5"/>
      <x:c r="U45" s="35" t="str">
        <x:f t="shared" si="3"/>
      </x:c>
    </x:row>
    <x:row r="46" ht="46.650001525878906" customHeight="1">
      <x:c r="A46" s="8" t="str">
        <x:f t="shared" si="0"/>
      </x:c>
      <x:c r="B46" s="4"/>
      <x:c r="C46" s="4"/>
      <x:c r="D46" s="4"/>
      <x:c r="E46" s="5"/>
      <x:c r="F46" s="5"/>
      <x:c r="G46" s="5"/>
      <x:c r="H46" s="7" t="str">
        <x:f t="shared" si="1"/>
      </x:c>
      <x:c r="I46" s="6" t="str">
        <x:f t="shared" si="2"/>
      </x:c>
      <x:c r="J46" s="4"/>
      <x:c r="K46" s="4"/>
      <x:c r="L46" s="4"/>
      <x:c r="M46" s="9" t="str">
        <x:f t="shared" si="4"/>
      </x:c>
      <x:c r="N46" s="4"/>
      <x:c r="O46" s="4"/>
      <x:c r="P46" s="4"/>
      <x:c r="Q46" s="4"/>
      <x:c r="R46" s="4"/>
      <x:c r="S46" s="4"/>
      <x:c r="T46" s="5"/>
      <x:c r="U46" s="35" t="str">
        <x:f t="shared" si="3"/>
      </x:c>
    </x:row>
    <x:row r="47" ht="46.650001525878906" customHeight="1">
      <x:c r="A47" s="8" t="str">
        <x:f t="shared" si="0"/>
      </x:c>
      <x:c r="B47" s="4"/>
      <x:c r="C47" s="4"/>
      <x:c r="D47" s="4"/>
      <x:c r="E47" s="5"/>
      <x:c r="F47" s="5"/>
      <x:c r="G47" s="5"/>
      <x:c r="H47" s="7" t="str">
        <x:f t="shared" si="1"/>
      </x:c>
      <x:c r="I47" s="6" t="str">
        <x:f t="shared" si="2"/>
      </x:c>
      <x:c r="J47" s="4"/>
      <x:c r="K47" s="4"/>
      <x:c r="L47" s="4"/>
      <x:c r="M47" s="9" t="str">
        <x:f t="shared" si="4"/>
      </x:c>
      <x:c r="N47" s="4"/>
      <x:c r="O47" s="4"/>
      <x:c r="P47" s="4"/>
      <x:c r="Q47" s="4"/>
      <x:c r="R47" s="4"/>
      <x:c r="S47" s="4"/>
      <x:c r="T47" s="5"/>
      <x:c r="U47" s="35" t="str">
        <x:f t="shared" si="3"/>
      </x:c>
    </x:row>
    <x:row r="48" ht="46.650001525878906" customHeight="1">
      <x:c r="A48" s="8" t="str">
        <x:f t="shared" si="0"/>
      </x:c>
      <x:c r="B48" s="4"/>
      <x:c r="C48" s="4"/>
      <x:c r="D48" s="4"/>
      <x:c r="E48" s="5"/>
      <x:c r="F48" s="5"/>
      <x:c r="G48" s="5"/>
      <x:c r="H48" s="7" t="str">
        <x:f t="shared" si="1"/>
      </x:c>
      <x:c r="I48" s="6" t="str">
        <x:f t="shared" si="2"/>
      </x:c>
      <x:c r="J48" s="4"/>
      <x:c r="K48" s="4"/>
      <x:c r="L48" s="4"/>
      <x:c r="M48" s="9" t="str">
        <x:f t="shared" si="4"/>
      </x:c>
      <x:c r="N48" s="4"/>
      <x:c r="O48" s="4"/>
      <x:c r="P48" s="4"/>
      <x:c r="Q48" s="4"/>
      <x:c r="R48" s="4"/>
      <x:c r="S48" s="4"/>
      <x:c r="T48" s="5"/>
      <x:c r="U48" s="35" t="str">
        <x:f t="shared" si="3"/>
      </x:c>
    </x:row>
    <x:row r="49" ht="46.650001525878906" customHeight="1">
      <x:c r="A49" s="8" t="str">
        <x:f t="shared" si="0"/>
      </x:c>
      <x:c r="B49" s="4"/>
      <x:c r="C49" s="4"/>
      <x:c r="D49" s="4"/>
      <x:c r="E49" s="5"/>
      <x:c r="F49" s="5"/>
      <x:c r="G49" s="5"/>
      <x:c r="H49" s="7" t="str">
        <x:f t="shared" si="1"/>
      </x:c>
      <x:c r="I49" s="6" t="str">
        <x:f t="shared" si="2"/>
      </x:c>
      <x:c r="J49" s="4"/>
      <x:c r="K49" s="4"/>
      <x:c r="L49" s="4"/>
      <x:c r="M49" s="9" t="str">
        <x:f t="shared" si="4"/>
      </x:c>
      <x:c r="N49" s="4"/>
      <x:c r="O49" s="4"/>
      <x:c r="P49" s="4"/>
      <x:c r="Q49" s="4"/>
      <x:c r="R49" s="4"/>
      <x:c r="S49" s="4"/>
      <x:c r="T49" s="5"/>
      <x:c r="U49" s="35" t="str">
        <x:f t="shared" si="3"/>
      </x:c>
    </x:row>
    <x:row r="50" ht="46.650001525878906" customHeight="1">
      <x:c r="A50" s="8" t="str">
        <x:f t="shared" si="0"/>
      </x:c>
      <x:c r="B50" s="4"/>
      <x:c r="C50" s="4"/>
      <x:c r="D50" s="4"/>
      <x:c r="E50" s="5"/>
      <x:c r="F50" s="5"/>
      <x:c r="G50" s="5"/>
      <x:c r="H50" s="7" t="str">
        <x:f t="shared" si="1"/>
      </x:c>
      <x:c r="I50" s="6" t="str">
        <x:f t="shared" si="2"/>
      </x:c>
      <x:c r="J50" s="4"/>
      <x:c r="K50" s="4"/>
      <x:c r="L50" s="4"/>
      <x:c r="M50" s="9" t="str">
        <x:f t="shared" si="4"/>
      </x:c>
      <x:c r="N50" s="4"/>
      <x:c r="O50" s="4"/>
      <x:c r="P50" s="4"/>
      <x:c r="Q50" s="4"/>
      <x:c r="R50" s="4"/>
      <x:c r="S50" s="4"/>
      <x:c r="T50" s="5"/>
      <x:c r="U50" s="35" t="str">
        <x:f t="shared" si="3"/>
      </x:c>
    </x:row>
    <x:row r="51" ht="46.650001525878906" customHeight="1">
      <x:c r="A51" s="8" t="str">
        <x:f t="shared" si="0"/>
      </x:c>
      <x:c r="B51" s="4"/>
      <x:c r="C51" s="4"/>
      <x:c r="D51" s="4"/>
      <x:c r="E51" s="5"/>
      <x:c r="F51" s="5"/>
      <x:c r="G51" s="5"/>
      <x:c r="H51" s="7" t="str">
        <x:f t="shared" si="1"/>
      </x:c>
      <x:c r="I51" s="6" t="str">
        <x:f t="shared" si="2"/>
      </x:c>
      <x:c r="J51" s="4"/>
      <x:c r="K51" s="4"/>
      <x:c r="L51" s="4"/>
      <x:c r="M51" s="9" t="str">
        <x:f t="shared" si="4"/>
      </x:c>
      <x:c r="N51" s="4"/>
      <x:c r="O51" s="4"/>
      <x:c r="P51" s="4"/>
      <x:c r="Q51" s="4"/>
      <x:c r="R51" s="4"/>
      <x:c r="S51" s="4"/>
      <x:c r="T51" s="5"/>
      <x:c r="U51" s="35" t="str">
        <x:f t="shared" si="3"/>
      </x:c>
    </x:row>
    <x:row r="52" ht="46.650001525878906" customHeight="1">
      <x:c r="A52" s="8" t="str">
        <x:f t="shared" si="0"/>
      </x:c>
      <x:c r="B52" s="4"/>
      <x:c r="C52" s="4"/>
      <x:c r="D52" s="4"/>
      <x:c r="E52" s="5"/>
      <x:c r="F52" s="5"/>
      <x:c r="G52" s="5"/>
      <x:c r="H52" s="7" t="str">
        <x:f t="shared" si="1"/>
      </x:c>
      <x:c r="I52" s="6" t="str">
        <x:f t="shared" si="2"/>
      </x:c>
      <x:c r="J52" s="4"/>
      <x:c r="K52" s="4"/>
      <x:c r="L52" s="4"/>
      <x:c r="M52" s="9" t="str">
        <x:f t="shared" si="4"/>
      </x:c>
      <x:c r="N52" s="4"/>
      <x:c r="O52" s="4"/>
      <x:c r="P52" s="4"/>
      <x:c r="Q52" s="4"/>
      <x:c r="R52" s="4"/>
      <x:c r="S52" s="4"/>
      <x:c r="T52" s="5"/>
      <x:c r="U52" s="35" t="str">
        <x:f t="shared" si="3"/>
      </x:c>
    </x:row>
    <x:row r="53" ht="46.650001525878906" customHeight="1">
      <x:c r="A53" s="8" t="str">
        <x:f t="shared" si="0"/>
      </x:c>
      <x:c r="B53" s="4"/>
      <x:c r="C53" s="4"/>
      <x:c r="D53" s="4"/>
      <x:c r="E53" s="5"/>
      <x:c r="F53" s="5"/>
      <x:c r="G53" s="5"/>
      <x:c r="H53" s="7" t="str">
        <x:f t="shared" si="1"/>
      </x:c>
      <x:c r="I53" s="6" t="str">
        <x:f t="shared" si="2"/>
      </x:c>
      <x:c r="J53" s="4"/>
      <x:c r="K53" s="4"/>
      <x:c r="L53" s="4"/>
      <x:c r="M53" s="9" t="str">
        <x:f t="shared" si="4"/>
      </x:c>
      <x:c r="N53" s="4"/>
      <x:c r="O53" s="4"/>
      <x:c r="P53" s="4"/>
      <x:c r="Q53" s="4"/>
      <x:c r="R53" s="4"/>
      <x:c r="S53" s="4"/>
      <x:c r="T53" s="5"/>
      <x:c r="U53" s="35" t="str">
        <x:f t="shared" si="3"/>
      </x:c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53">
    <x:cfRule type="expression" dxfId="90" priority="6">
      <x:formula>AND($C9&lt;&gt;"",$M9="")</x:formula>
    </x:cfRule>
  </x:conditionalFormatting>
  <x:conditionalFormatting sqref="A9:T500">
    <x:cfRule type="expression" dxfId="89" priority="7">
      <x:formula>$B9="Merchant"</x:formula>
    </x:cfRule>
    <x:cfRule type="expression" dxfId="88" priority="8">
      <x:formula>$B9="Remittance"</x:formula>
    </x:cfRule>
    <x:cfRule type="expression" dxfId="87" priority="15">
      <x:formula>AND($C9&lt;&gt;"",$M9="")</x:formula>
    </x:cfRule>
  </x:conditionalFormatting>
  <x:conditionalFormatting sqref="B9:B500">
    <x:cfRule type="expression" dxfId="86" priority="9">
      <x:formula>B9="Remittance"</x:formula>
    </x:cfRule>
  </x:conditionalFormatting>
  <x:conditionalFormatting sqref="I9:I53">
    <x:cfRule type="expression" dxfId="85" priority="1">
      <x:formula>I9="Active"</x:formula>
    </x:cfRule>
    <x:cfRule type="expression" dxfId="84" priority="2">
      <x:formula>I9="End Date Not Stated"</x:formula>
    </x:cfRule>
    <x:cfRule type="expression" dxfId="83" priority="3">
      <x:formula>I9="Expiring ≤7 Days"</x:formula>
    </x:cfRule>
    <x:cfRule type="expression" dxfId="82" priority="4">
      <x:formula>I9="Expiring 8–30 Days"</x:formula>
    </x:cfRule>
    <x:cfRule type="expression" dxfId="81" priority="5">
      <x:formula>I9="Expired"</x:formula>
    </x:cfRule>
  </x:conditionalFormatting>
  <x:conditionalFormatting sqref="I9:I500">
    <x:cfRule type="expression" dxfId="80" priority="10">
      <x:formula>I9="Active"</x:formula>
    </x:cfRule>
    <x:cfRule type="expression" dxfId="79" priority="11">
      <x:formula>I9="End Date Not Stated"</x:formula>
    </x:cfRule>
    <x:cfRule type="expression" dxfId="78" priority="12">
      <x:formula>I9="Expiring ≤7 Days"</x:formula>
    </x:cfRule>
    <x:cfRule type="expression" dxfId="77" priority="13">
      <x:formula>I9="Expiring 8–30 Days"</x:formula>
    </x:cfRule>
    <x:cfRule type="expression" dxfId="76" priority="14">
      <x:formula>I9="Expired"</x:formula>
    </x:cfRule>
  </x:conditionalFormatting>
  <x:conditionalFormatting sqref="U9:U53">
    <x:cfRule type="expression" dxfId="75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7724ef1e6e47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</x:cols>
  <x:sheetData>
    <x:row r="1" ht="22.649999618530273" customHeight="1">
      <x:c r="A1" s="52" t="s">
        <x:v>122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3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str">
        <x:v>Merchant Offers (Count Only): 0</x:v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COUNTIFS('barq'!$C$9:$C$500,"&lt;&gt;",'barq'!$M$9:$M$500,"&lt;&gt;")</x:f>
        <x:v>6</x:v>
      </x:c>
      <x:c r="B5" s="53"/>
      <x:c r="C5" s="53"/>
      <x:c r="D5" s="53" t="n">
        <x:f>COUNTIFS('barq'!$C$9:$C$500,"&lt;&gt;",'barq'!$I$9:$I$500,"End Date Not Stated")</x:f>
        <x:v>6</x:v>
      </x:c>
      <x:c r="E5" s="53" t="n">
        <x:f>COUNTIFS('barq'!$C$9:$C$500,"&lt;&gt;",'barq'!$I$9:$I$500,"End Date Not Stated")</x:f>
        <x:v>6</x:v>
      </x:c>
      <x:c r="F5" s="53"/>
      <x:c r="G5" s="53" t="n">
        <x:f>COUNTIFS('barq'!$C$9:$C$500,"&lt;&gt;",'barq'!$B$9:$B$500,"Remittance")</x:f>
        <x:v>2</x:v>
      </x:c>
      <x:c r="H5" s="53"/>
      <x:c r="I5" s="54" t="n">
        <x:f>COUNTIFS('barq'!$C$9:$C$500,"&lt;&gt;",'barq'!$B$9:$B$500,"Remittance")</x:f>
        <x:v>2</x:v>
      </x:c>
      <x:c r="J5" s="54" t="n">
        <x:f>COUNTIFS('barq'!$C$9:$C$500,"&lt;&gt;",'barq'!$I$9:$I$500,"Expiring ≤7 Days")+COUNTIFS('barq'!$C$9:$C$500,"&lt;&gt;",'barq'!$I$9:$I$500,"Expiring 8–30 Days")</x:f>
        <x:v>0</x:v>
      </x:c>
      <x:c r="K5" s="54"/>
      <x:c r="L5" s="54"/>
      <x:c r="M5" s="55" t="n">
        <x:v>0</x:v>
      </x:c>
      <x:c r="N5" s="55"/>
      <x:c r="O5" s="55"/>
      <x:c r="P5" s="55"/>
      <x:c r="Q5" s="53" t="n">
        <x:f>COUNTIFS('barq'!$C$9:$C$500,"&lt;&gt;",'barq'!$I$9:$I$500,"Expiring ≤7 Days")+COUNTIFS('barq'!$C$9:$C$500,"&lt;&gt;",'barq'!$I$9:$I$500,"Expiring 8–30 Days")</x:f>
        <x:v>0</x:v>
      </x:c>
      <x:c r="R5" s="53"/>
      <x:c r="S5" s="53"/>
      <x:c r="T5" s="53"/>
    </x:row>
    <x:row r="8" ht="30.649999618530273" customHeight="1">
      <x:c r="A8" s="3" t="s">
        <x:v>4</x:v>
      </x:c>
      <x:c r="B8" s="3" t="s">
        <x:v>5</x:v>
      </x:c>
      <x:c r="C8" s="3" t="s">
        <x:v>6</x:v>
      </x:c>
      <x:c r="D8" s="3" t="s">
        <x:v>7</x:v>
      </x:c>
      <x:c r="E8" s="3" t="s">
        <x:v>8</x:v>
      </x:c>
      <x:c r="F8" s="3" t="s">
        <x:v>9</x:v>
      </x:c>
      <x:c r="G8" s="3" t="s">
        <x:v>10</x:v>
      </x:c>
      <x:c r="H8" s="3" t="s">
        <x:v>11</x:v>
      </x:c>
      <x:c r="I8" s="3" t="s">
        <x:v>12</x:v>
      </x:c>
      <x:c r="J8" s="3" t="s">
        <x:v>13</x:v>
      </x:c>
      <x:c r="K8" s="3" t="s">
        <x:v>14</x:v>
      </x:c>
      <x:c r="L8" s="3" t="s">
        <x:v>15</x:v>
      </x:c>
      <x:c r="M8" s="3" t="s">
        <x:v>16</x:v>
      </x:c>
      <x:c r="N8" s="3" t="s">
        <x:v>17</x:v>
      </x:c>
      <x:c r="O8" s="3" t="s">
        <x:v>18</x:v>
      </x:c>
      <x:c r="P8" s="3" t="s">
        <x:v>19</x:v>
      </x:c>
      <x:c r="Q8" s="3" t="s">
        <x:v>20</x:v>
      </x:c>
      <x:c r="R8" s="3" t="s">
        <x:v>21</x:v>
      </x:c>
      <x:c r="S8" s="3" t="s">
        <x:v>22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s">
        <x:v>110</x:v>
      </x:c>
      <x:c r="C9" s="4" t="s">
        <x:v>123</x:v>
      </x:c>
      <x:c r="D9" s="4" t="s">
        <x:v>124</x:v>
      </x:c>
      <x:c r="E9" s="5"/>
      <x:c r="F9" s="5"/>
      <x:c r="G9" s="5"/>
      <x:c r="H9" s="7" t="str">
        <x:f t="shared" ref="H9:H42" si="1">IF(OR(C9="",G9=""),"",G9-TODAY())</x:f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End Date Not Stated</x:v>
      </x:c>
      <x:c r="J9" s="4" t="s">
        <x:v>125</x:v>
      </x:c>
      <x:c r="K9" s="4" t="s">
        <x:v>126</x:v>
      </x:c>
      <x:c r="L9" s="4" t="s">
        <x:v>127</x:v>
      </x:c>
      <x:c r="M9" s="9" t="str">
        <x:f>IF(C9="","",IF(N9&lt;&gt;"",N9,IF(O9&lt;&gt;"",O9,IF(P9&lt;&gt;"",P9,IF(Q9&lt;&gt;"",Q9,IF(R9&lt;&gt;"",R9,""))))))</x:f>
        <x:v>https://www.instagram.com/reel/DYxvJOWiZY5/</x:v>
      </x:c>
      <x:c r="N9" s="4"/>
      <x:c r="O9" s="63" t="s">
        <x:v>128</x:v>
      </x:c>
      <x:c r="P9" s="4"/>
      <x:c r="Q9" s="63" t="s">
        <x:v>129</x:v>
      </x:c>
      <x:c r="R9" s="4"/>
      <x:c r="S9" s="4" t="s">
        <x:v>130</x:v>
      </x:c>
      <x:c r="T9" s="5" t="n">
        <x:v>46240</x:v>
      </x:c>
      <x:c r="U9" s="35" t="str">
        <x:f t="shared" ref="U9:U42" si="3">IF(C9="","",IF(COUNTA(O9:R9)=0,"No direct social post verified",IF(O9&lt;&gt;"","Instagram","")&amp;IF(AND(O9&lt;&gt;"",OR(P9&lt;&gt;"",Q9&lt;&gt;"",R9&lt;&gt;"")),", ","")&amp;IF(P9&lt;&gt;"","X","")&amp;IF(AND(P9&lt;&gt;"",OR(Q9&lt;&gt;"",R9&lt;&gt;"")),", ","")&amp;IF(Q9&lt;&gt;"","Facebook","")&amp;IF(AND(Q9&lt;&gt;"",R9&lt;&gt;""),", ","")&amp;IF(R9&lt;&gt;"","TikTok","")))</x:f>
        <x:v>Instagram, Facebook</x:v>
      </x:c>
    </x:row>
    <x:row r="10" ht="46.650001525878906" customHeight="1">
      <x:c r="A10" s="8" t="n">
        <x:f t="shared" si="0">IF(C10="","",ROW()-8)</x:f>
        <x:v>2</x:v>
      </x:c>
      <x:c r="B10" s="4" t="s">
        <x:v>110</x:v>
      </x:c>
      <x:c r="C10" s="4" t="s">
        <x:v>131</x:v>
      </x:c>
      <x:c r="D10" s="4" t="s">
        <x:v>132</x:v>
      </x:c>
      <x:c r="E10" s="5"/>
      <x:c r="F10" s="5"/>
      <x:c r="G10" s="5"/>
      <x:c r="H10" s="7" t="str">
        <x:f t="shared" si="1">IF(OR(C10="",G10=""),"",G10-TODAY())</x:f>
      </x:c>
      <x:c r="I10" s="6" t="str">
        <x:f t="shared" si="2">IF(C10="","",IF(G10="","End Date Not Stated",IF(G10&lt;TODAY(),"Expired",IF(G10&lt;=TODAY()+7,"Expiring ≤7 Days",IF(G10&lt;=TODAY()+30,"Expiring 8–30 Days","Active")))))</x:f>
        <x:v>End Date Not Stated</x:v>
      </x:c>
      <x:c r="J10" s="4" t="s">
        <x:v>133</x:v>
      </x:c>
      <x:c r="K10" s="4" t="s">
        <x:v>134</x:v>
      </x:c>
      <x:c r="L10" s="4" t="s">
        <x:v>135</x:v>
      </x:c>
      <x:c r="M10" s="9" t="str">
        <x:f t="shared" ref="M10:M42" si="4">IF(C10="","",IF(N10&lt;&gt;"",N10,IF(O10&lt;&gt;"",O10,IF(P10&lt;&gt;"",P10,IF(Q10&lt;&gt;"",Q10,IF(R10&lt;&gt;"",R10,""))))))</x:f>
        <x:v>https://www.facebook.com/usebarq/posts/update-your-barq-app-and-join-the-prediction-game-win-your-share-of-prizes-worth/122197690844385166/</x:v>
      </x:c>
      <x:c r="N10" s="4"/>
      <x:c r="O10" s="4"/>
      <x:c r="P10" s="4"/>
      <x:c r="Q10" s="63" t="s">
        <x:v>136</x:v>
      </x:c>
      <x:c r="R10" s="4"/>
      <x:c r="S10" s="4" t="s">
        <x:v>130</x:v>
      </x:c>
      <x:c r="T10" s="5" t="n">
        <x:v>46240</x:v>
      </x:c>
      <x:c r="U10" s="35" t="str">
        <x:f t="shared" si="3">IF(C10="","",IF(COUNTA(O10:R10)=0,"No direct social post verified",IF(O10&lt;&gt;"","Instagram","")&amp;IF(AND(O10&lt;&gt;"",OR(P10&lt;&gt;"",Q10&lt;&gt;"",R10&lt;&gt;"")),", ","")&amp;IF(P10&lt;&gt;"","X","")&amp;IF(AND(P10&lt;&gt;"",OR(Q10&lt;&gt;"",R10&lt;&gt;"")),", ","")&amp;IF(Q10&lt;&gt;"","Facebook","")&amp;IF(AND(Q10&lt;&gt;"",R10&lt;&gt;""),", ","")&amp;IF(R10&lt;&gt;"","TikTok","")))</x:f>
        <x:v>Facebook</x:v>
      </x:c>
    </x:row>
    <x:row r="11" ht="46.650001525878906" customHeight="1">
      <x:c r="A11" s="8" t="n">
        <x:f t="shared" si="0">IF(C11="","",ROW()-8)</x:f>
        <x:v>3</x:v>
      </x:c>
      <x:c r="B11" s="4" t="s">
        <x:v>55</x:v>
      </x:c>
      <x:c r="C11" s="4" t="s">
        <x:v>137</x:v>
      </x:c>
      <x:c r="D11" s="4" t="s">
        <x:v>138</x:v>
      </x:c>
      <x:c r="E11" s="5"/>
      <x:c r="F11" s="5"/>
      <x:c r="G11" s="5"/>
      <x:c r="H11" s="7" t="str">
        <x:f t="shared" si="1">IF(OR(C11="",G11=""),"",G11-TODAY())</x:f>
      </x:c>
      <x:c r="I11" s="6" t="str">
        <x:f t="shared" si="2">IF(C11="","",IF(G11="","End Date Not Stated",IF(G11&lt;TODAY(),"Expired",IF(G11&lt;=TODAY()+7,"Expiring ≤7 Days",IF(G11&lt;=TODAY()+30,"Expiring 8–30 Days","Active")))))</x:f>
        <x:v>End Date Not Stated</x:v>
      </x:c>
      <x:c r="J11" s="4" t="s">
        <x:v>58</x:v>
      </x:c>
      <x:c r="K11" s="4" t="s">
        <x:v>139</x:v>
      </x:c>
      <x:c r="L11" s="4" t="s">
        <x:v>127</x:v>
      </x:c>
      <x:c r="M11" s="9" t="str">
        <x:f t="shared" si="4">IF(C11="","",IF(N11&lt;&gt;"",N11,IF(O11&lt;&gt;"",O11,IF(P11&lt;&gt;"",P11,IF(Q11&lt;&gt;"",Q11,IF(R11&lt;&gt;"",R11,""))))))</x:f>
        <x:v>https://www.facebook.com/usebarq/posts/planning-a-trip-%EF%B8%8Fbook-through-almatarapp-with-your-barq-visa-and-get-up-to-10-of/122178668528385166/</x:v>
      </x:c>
      <x:c r="N11" s="4"/>
      <x:c r="O11" s="4"/>
      <x:c r="P11" s="4"/>
      <x:c r="Q11" s="63" t="s">
        <x:v>140</x:v>
      </x:c>
      <x:c r="R11" s="4"/>
      <x:c r="S11" s="4" t="s">
        <x:v>130</x:v>
      </x:c>
      <x:c r="T11" s="5" t="n">
        <x:v>46240</x:v>
      </x:c>
      <x:c r="U11" s="35" t="str">
        <x:f t="shared" si="3">IF(C11="","",IF(COUNTA(O11:R11)=0,"No direct social post verified",IF(O11&lt;&gt;"","Instagram","")&amp;IF(AND(O11&lt;&gt;"",OR(P11&lt;&gt;"",Q11&lt;&gt;"",R11&lt;&gt;"")),", ","")&amp;IF(P11&lt;&gt;"","X","")&amp;IF(AND(P11&lt;&gt;"",OR(Q11&lt;&gt;"",R11&lt;&gt;"")),", ","")&amp;IF(Q11&lt;&gt;"","Facebook","")&amp;IF(AND(Q11&lt;&gt;"",R11&lt;&gt;""),", ","")&amp;IF(R11&lt;&gt;"","TikTok","")))</x:f>
        <x:v>Facebook</x:v>
      </x:c>
    </x:row>
    <x:row r="12" ht="46.650001525878906" customHeight="1">
      <x:c r="A12" s="8" t="n">
        <x:f t="shared" si="0">IF(C12="","",ROW()-8)</x:f>
        <x:v>4</x:v>
      </x:c>
      <x:c r="B12" s="4" t="s">
        <x:v>141</x:v>
      </x:c>
      <x:c r="C12" s="4" t="s">
        <x:v>142</x:v>
      </x:c>
      <x:c r="D12" s="4" t="s">
        <x:v>143</x:v>
      </x:c>
      <x:c r="E12" s="5"/>
      <x:c r="F12" s="5"/>
      <x:c r="G12" s="5"/>
      <x:c r="H12" s="7" t="str">
        <x:f t="shared" si="1">IF(OR(C12="",G12=""),"",G12-TODAY())</x:f>
      </x:c>
      <x:c r="I12" s="6" t="str">
        <x:f t="shared" si="2">IF(C12="","",IF(G12="","End Date Not Stated",IF(G12&lt;TODAY(),"Expired",IF(G12&lt;=TODAY()+7,"Expiring ≤7 Days",IF(G12&lt;=TODAY()+30,"Expiring 8–30 Days","Active")))))</x:f>
        <x:v>End Date Not Stated</x:v>
      </x:c>
      <x:c r="J12" s="4" t="s">
        <x:v>144</x:v>
      </x:c>
      <x:c r="K12" s="4" t="s">
        <x:v>145</x:v>
      </x:c>
      <x:c r="L12" s="4" t="s">
        <x:v>146</x:v>
      </x:c>
      <x:c r="M12" s="9" t="str">
        <x:f t="shared" si="4">IF(C12="","",IF(N12&lt;&gt;"",N12,IF(O12&lt;&gt;"",O12,IF(P12&lt;&gt;"",P12,IF(Q12&lt;&gt;"",Q12,IF(R12&lt;&gt;"",R12,""))))))</x:f>
        <x:v>https://www.instagram.com/p/Dazzjtdt1Jt/?utm_source=ig_web_button_share_sheet&amp;igsh=MzRlODBiNWFlZA==</x:v>
      </x:c>
      <x:c r="N12" s="4"/>
      <x:c r="O12" s="63" t="s">
        <x:v>147</x:v>
      </x:c>
      <x:c r="P12" s="4"/>
      <x:c r="Q12" s="63" t="str">
        <x:v>https://www.facebook.com/usebarq/videos/barq-transfer-fast-and-free/1218272083516944/</x:v>
      </x:c>
      <x:c r="R12" s="4"/>
      <x:c r="S12" s="4" t="str">
        <x:v>Current official posts in early August continue to promote fast, fee-free international transfers. No campaign end date is stated.</x:v>
      </x:c>
      <x:c r="T12" s="5" t="n">
        <x:v>46240</x:v>
      </x:c>
      <x:c r="U12" s="35" t="str">
        <x:f t="shared" si="3">IF(C12="","",IF(COUNTA(O12:R12)=0,"No direct social post verified",IF(O12&lt;&gt;"","Instagram","")&amp;IF(AND(O12&lt;&gt;"",OR(P12&lt;&gt;"",Q12&lt;&gt;"",R12&lt;&gt;"")),", ","")&amp;IF(P12&lt;&gt;"","X","")&amp;IF(AND(P12&lt;&gt;"",OR(Q12&lt;&gt;"",R12&lt;&gt;"")),", ","")&amp;IF(Q12&lt;&gt;"","Facebook","")&amp;IF(AND(Q12&lt;&gt;"",R12&lt;&gt;""),", ","")&amp;IF(R12&lt;&gt;"","TikTok","")))</x:f>
        <x:v>Instagram, Facebook</x:v>
      </x:c>
    </x:row>
    <x:row r="13" ht="46.650001525878906" customHeight="1">
      <x:c r="A13" s="8" t="n">
        <x:f t="shared" si="0">IF(C13="","",ROW()-8)</x:f>
        <x:v>5</x:v>
      </x:c>
      <x:c r="B13" s="4" t="s">
        <x:v>23</x:v>
      </x:c>
      <x:c r="C13" s="4" t="s">
        <x:v>148</x:v>
      </x:c>
      <x:c r="D13" s="4" t="s">
        <x:v>149</x:v>
      </x:c>
      <x:c r="E13" s="5"/>
      <x:c r="F13" s="5"/>
      <x:c r="G13" s="5"/>
      <x:c r="H13" s="7" t="str">
        <x:f t="shared" si="1">IF(OR(C13="",G13=""),"",G13-TODAY())</x:f>
      </x:c>
      <x:c r="I13" s="6" t="str">
        <x:f t="shared" si="2">IF(C13="","",IF(G13="","End Date Not Stated",IF(G13&lt;TODAY(),"Expired",IF(G13&lt;=TODAY()+7,"Expiring ≤7 Days",IF(G13&lt;=TODAY()+30,"Expiring 8–30 Days","Active")))))</x:f>
        <x:v>End Date Not Stated</x:v>
      </x:c>
      <x:c r="J13" s="4" t="s">
        <x:v>150</x:v>
      </x:c>
      <x:c r="K13" s="4"/>
      <x:c r="L13" s="4"/>
      <x:c r="M13" s="9" t="str">
        <x:f t="shared" si="4">IF(C13="","",IF(N13&lt;&gt;"",N13,IF(O13&lt;&gt;"",O13,IF(P13&lt;&gt;"",P13,IF(Q13&lt;&gt;"",Q13,IF(R13&lt;&gt;"",R13,""))))))</x:f>
        <x:v>https://www.instagram.com/p/DbAtiuQNGlf/</x:v>
      </x:c>
      <x:c r="N13" s="4"/>
      <x:c r="O13" s="63" t="s">
        <x:v>151</x:v>
      </x:c>
      <x:c r="P13" s="63" t="s">
        <x:v>152</x:v>
      </x:c>
      <x:c r="Q13" s="63" t="str">
        <x:v>https://www.facebook.com/usebarq/videos/%D8%AD%D9%84%D8%A7%D8%AA-%D8%A7%D9%84%D8%B3%D9%81%D8%B1-%D8%A8%D8%A7%D9%84%D8%AA%D8%AC%D8%A7%D8%B1%D8%A8-%D9%88%D8%A8%D8%A8%D8%B7%D8%A7%D9%82%D8%A9-%D8%A8%D8%AF%D9%88%D9%86-%D8%B1%D8%B3%D9%88%D9%85-%D8%AF%D9%88%D9%84%D9%8A%D8%A9%EF%B8%8F/1051539764436915/</x:v>
      </x:c>
      <x:c r="R13" s="63" t="s">
        <x:v>153</x:v>
      </x:c>
      <x:c r="S13" s="4" t="str">
        <x:v>Current official posts continue to position barq Visa as having no international transaction fees. No campaign end date is stated.</x:v>
      </x:c>
      <x:c r="T13" s="5" t="n">
        <x:v>46240</x:v>
      </x:c>
      <x:c r="U13" s="35" t="str">
        <x:f t="shared" si="3">IF(C13="","",IF(COUNTA(O13:R13)=0,"No direct social post verified",IF(O13&lt;&gt;"","Instagram","")&amp;IF(AND(O13&lt;&gt;"",OR(P13&lt;&gt;"",Q13&lt;&gt;"",R13&lt;&gt;"")),", ","")&amp;IF(P13&lt;&gt;"","X","")&amp;IF(AND(P13&lt;&gt;"",OR(Q13&lt;&gt;"",R13&lt;&gt;"")),", ","")&amp;IF(Q13&lt;&gt;"","Facebook","")&amp;IF(AND(Q13&lt;&gt;"",R13&lt;&gt;""),", ","")&amp;IF(R13&lt;&gt;"","TikTok","")))</x:f>
        <x:v>Instagram, X, Facebook, TikTok</x:v>
      </x:c>
    </x:row>
    <x:row r="14" ht="46.650001525878906" customHeight="1">
      <x:c r="A14" s="8" t="n">
        <x:f t="shared" si="0">IF(C14="","",ROW()-8)</x:f>
        <x:v>6</x:v>
      </x:c>
      <x:c r="B14" s="4" t="s">
        <x:v>141</x:v>
      </x:c>
      <x:c r="C14" s="4" t="s">
        <x:v>154</x:v>
      </x:c>
      <x:c r="D14" s="4"/>
      <x:c r="E14" s="5"/>
      <x:c r="F14" s="5"/>
      <x:c r="G14" s="5"/>
      <x:c r="H14" s="7" t="str">
        <x:f t="shared" si="1">IF(OR(C14="",G14=""),"",G14-TODAY())</x:f>
      </x:c>
      <x:c r="I14" s="6" t="str">
        <x:f t="shared" si="2">IF(C14="","",IF(G14="","End Date Not Stated",IF(G14&lt;TODAY(),"Expired",IF(G14&lt;=TODAY()+7,"Expiring ≤7 Days",IF(G14&lt;=TODAY()+30,"Expiring 8–30 Days","Active")))))</x:f>
        <x:v>End Date Not Stated</x:v>
      </x:c>
      <x:c r="J14" s="4" t="s">
        <x:v>155</x:v>
      </x:c>
      <x:c r="K14" s="4" t="s">
        <x:v>156</x:v>
      </x:c>
      <x:c r="L14" s="4" t="s">
        <x:v>157</x:v>
      </x:c>
      <x:c r="M14" s="9" t="str">
        <x:f t="shared" si="4">IF(C14="","",IF(N14&lt;&gt;"",N14,IF(O14&lt;&gt;"",O14,IF(P14&lt;&gt;"",P14,IF(Q14&lt;&gt;"",Q14,IF(R14&lt;&gt;"",R14,""))))))</x:f>
        <x:v>https://www.instagram.com/reel/DaaydiADUvg/?utm_source=ig_web_button_share_sheet&amp;igsh=MzRlODBiNWFlZA==</x:v>
      </x:c>
      <x:c r="N14" s="4"/>
      <x:c r="O14" s="63" t="s">
        <x:v>158</x:v>
      </x:c>
      <x:c r="P14" s="4"/>
      <x:c r="Q14" s="4"/>
      <x:c r="R14" s="4"/>
      <x:c r="S14" s="4"/>
      <x:c r="T14" s="5" t="n">
        <x:v>46240</x:v>
      </x:c>
      <x:c r="U14" s="35" t="str">
        <x:f t="shared" si="3">IF(C14="","",IF(COUNTA(O14:R14)=0,"No direct social post verified",IF(O14&lt;&gt;"","Instagram","")&amp;IF(AND(O14&lt;&gt;"",OR(P14&lt;&gt;"",Q14&lt;&gt;"",R14&lt;&gt;"")),", ","")&amp;IF(P14&lt;&gt;"","X","")&amp;IF(AND(P14&lt;&gt;"",OR(Q14&lt;&gt;"",R14&lt;&gt;"")),", ","")&amp;IF(Q14&lt;&gt;"","Facebook","")&amp;IF(AND(Q14&lt;&gt;"",R14&lt;&gt;""),", ","")&amp;IF(R14&lt;&gt;"","TikTok","")))</x:f>
        <x:v>Instagram</x:v>
      </x:c>
    </x:row>
    <x:row r="15" ht="46.650001525878906" customHeight="1">
      <x:c r="A15" s="8" t="str">
        <x:f t="shared" si="0"/>
      </x:c>
      <x:c r="B15" s="4"/>
      <x:c r="C15" s="4"/>
      <x:c r="D15" s="4"/>
      <x:c r="E15" s="5"/>
      <x:c r="F15" s="5"/>
      <x:c r="G15" s="5"/>
      <x:c r="H15" s="7" t="str">
        <x:f t="shared" si="1"/>
      </x:c>
      <x:c r="I15" s="6" t="str">
        <x:f t="shared" si="2"/>
      </x:c>
      <x:c r="J15" s="4"/>
      <x:c r="K15" s="4"/>
      <x:c r="L15" s="4"/>
      <x:c r="M15" s="9" t="str">
        <x:f t="shared" si="4"/>
      </x:c>
      <x:c r="N15" s="4"/>
      <x:c r="O15" s="4"/>
      <x:c r="P15" s="4"/>
      <x:c r="Q15" s="4"/>
      <x:c r="R15" s="4"/>
      <x:c r="S15" s="4"/>
      <x:c r="T15" s="5"/>
      <x:c r="U15" s="35" t="str">
        <x:f t="shared" si="3"/>
      </x:c>
    </x:row>
    <x:row r="16" ht="46.650001525878906" customHeight="1">
      <x:c r="A16" s="8" t="str">
        <x:f t="shared" si="0"/>
      </x:c>
      <x:c r="B16" s="4"/>
      <x:c r="C16" s="4"/>
      <x:c r="D16" s="4"/>
      <x:c r="E16" s="5"/>
      <x:c r="F16" s="5"/>
      <x:c r="G16" s="5"/>
      <x:c r="H16" s="7" t="str">
        <x:f t="shared" si="1"/>
      </x:c>
      <x:c r="I16" s="6" t="str">
        <x:f t="shared" si="2"/>
      </x:c>
      <x:c r="J16" s="4"/>
      <x:c r="K16" s="4"/>
      <x:c r="L16" s="4"/>
      <x:c r="M16" s="9" t="str">
        <x:f t="shared" si="4"/>
      </x:c>
      <x:c r="N16" s="4"/>
      <x:c r="O16" s="4"/>
      <x:c r="P16" s="4"/>
      <x:c r="Q16" s="4"/>
      <x:c r="R16" s="4"/>
      <x:c r="S16" s="4"/>
      <x:c r="T16" s="5"/>
      <x:c r="U16" s="35" t="str">
        <x:f t="shared" si="3"/>
      </x:c>
    </x:row>
    <x:row r="17" ht="46.650001525878906" customHeight="1">
      <x:c r="A17" s="8" t="str">
        <x:f t="shared" si="0"/>
      </x:c>
      <x:c r="B17" s="4"/>
      <x:c r="C17" s="4"/>
      <x:c r="D17" s="4"/>
      <x:c r="E17" s="5"/>
      <x:c r="F17" s="5"/>
      <x:c r="G17" s="5"/>
      <x:c r="H17" s="7" t="str">
        <x:f t="shared" si="1"/>
      </x:c>
      <x:c r="I17" s="6" t="str">
        <x:f t="shared" si="2"/>
      </x:c>
      <x:c r="J17" s="4"/>
      <x:c r="K17" s="4"/>
      <x:c r="L17" s="4"/>
      <x:c r="M17" s="9" t="str">
        <x:f t="shared" si="4"/>
      </x:c>
      <x:c r="N17" s="4"/>
      <x:c r="O17" s="4"/>
      <x:c r="P17" s="4"/>
      <x:c r="Q17" s="4"/>
      <x:c r="R17" s="4"/>
      <x:c r="S17" s="4"/>
      <x:c r="T17" s="5"/>
      <x:c r="U17" s="35" t="str">
        <x:f t="shared" si="3"/>
      </x:c>
    </x:row>
    <x:row r="18" ht="46.650001525878906" customHeight="1">
      <x:c r="A18" s="8" t="str">
        <x:f t="shared" si="0"/>
      </x:c>
      <x:c r="B18" s="4"/>
      <x:c r="C18" s="4"/>
      <x:c r="D18" s="4"/>
      <x:c r="E18" s="5"/>
      <x:c r="F18" s="5"/>
      <x:c r="G18" s="5"/>
      <x:c r="H18" s="7" t="str">
        <x:f t="shared" si="1"/>
      </x:c>
      <x:c r="I18" s="6" t="str">
        <x:f t="shared" si="2"/>
      </x:c>
      <x:c r="J18" s="4"/>
      <x:c r="K18" s="4"/>
      <x:c r="L18" s="4"/>
      <x:c r="M18" s="9" t="str">
        <x:f t="shared" si="4"/>
      </x:c>
      <x:c r="N18" s="4"/>
      <x:c r="O18" s="4"/>
      <x:c r="P18" s="4"/>
      <x:c r="Q18" s="4"/>
      <x:c r="R18" s="4"/>
      <x:c r="S18" s="4"/>
      <x:c r="T18" s="5"/>
      <x:c r="U18" s="35" t="str">
        <x:f t="shared" si="3"/>
      </x:c>
    </x:row>
    <x:row r="19" ht="46.650001525878906" customHeight="1">
      <x:c r="A19" s="8" t="str">
        <x:f t="shared" si="0"/>
      </x:c>
      <x:c r="B19" s="4"/>
      <x:c r="C19" s="4"/>
      <x:c r="D19" s="4"/>
      <x:c r="E19" s="5"/>
      <x:c r="F19" s="5"/>
      <x:c r="G19" s="5"/>
      <x:c r="H19" s="7" t="str">
        <x:f t="shared" si="1"/>
      </x:c>
      <x:c r="I19" s="6" t="str">
        <x:f t="shared" si="2"/>
      </x:c>
      <x:c r="J19" s="4"/>
      <x:c r="K19" s="4"/>
      <x:c r="L19" s="4"/>
      <x:c r="M19" s="9" t="str">
        <x:f t="shared" si="4"/>
      </x:c>
      <x:c r="N19" s="4"/>
      <x:c r="O19" s="4"/>
      <x:c r="P19" s="4"/>
      <x:c r="Q19" s="4"/>
      <x:c r="R19" s="4"/>
      <x:c r="S19" s="4"/>
      <x:c r="T19" s="5"/>
      <x:c r="U19" s="35" t="str">
        <x:f t="shared" si="3"/>
      </x:c>
    </x:row>
    <x:row r="20" ht="46.650001525878906" customHeight="1">
      <x:c r="A20" s="8" t="str">
        <x:f t="shared" si="0"/>
      </x:c>
      <x:c r="B20" s="4"/>
      <x:c r="C20" s="4"/>
      <x:c r="D20" s="4"/>
      <x:c r="E20" s="5"/>
      <x:c r="F20" s="5"/>
      <x:c r="G20" s="5"/>
      <x:c r="H20" s="7" t="str">
        <x:f t="shared" si="1"/>
      </x:c>
      <x:c r="I20" s="6" t="str">
        <x:f t="shared" si="2"/>
      </x:c>
      <x:c r="J20" s="4"/>
      <x:c r="K20" s="4"/>
      <x:c r="L20" s="4"/>
      <x:c r="M20" s="9" t="str">
        <x:f t="shared" si="4"/>
      </x:c>
      <x:c r="N20" s="4"/>
      <x:c r="O20" s="4"/>
      <x:c r="P20" s="4"/>
      <x:c r="Q20" s="4"/>
      <x:c r="R20" s="4"/>
      <x:c r="S20" s="4"/>
      <x:c r="T20" s="5"/>
      <x:c r="U20" s="35" t="str">
        <x:f t="shared" si="3"/>
      </x:c>
    </x:row>
    <x:row r="21" ht="46.650001525878906" customHeight="1">
      <x:c r="A21" s="8" t="str">
        <x:f t="shared" si="0"/>
      </x:c>
      <x:c r="B21" s="4"/>
      <x:c r="C21" s="4"/>
      <x:c r="D21" s="4"/>
      <x:c r="E21" s="5"/>
      <x:c r="F21" s="5"/>
      <x:c r="G21" s="5"/>
      <x:c r="H21" s="7" t="str">
        <x:f t="shared" si="1"/>
      </x:c>
      <x:c r="I21" s="6" t="str">
        <x:f t="shared" si="2"/>
      </x:c>
      <x:c r="J21" s="4"/>
      <x:c r="K21" s="4"/>
      <x:c r="L21" s="4"/>
      <x:c r="M21" s="9" t="str">
        <x:f t="shared" si="4"/>
      </x:c>
      <x:c r="N21" s="4"/>
      <x:c r="O21" s="4"/>
      <x:c r="P21" s="4"/>
      <x:c r="Q21" s="4"/>
      <x:c r="R21" s="4"/>
      <x:c r="S21" s="4"/>
      <x:c r="T21" s="5"/>
      <x:c r="U21" s="35" t="str">
        <x:f t="shared" si="3"/>
      </x:c>
    </x:row>
    <x:row r="22" ht="46.650001525878906" customHeight="1">
      <x:c r="A22" s="8" t="str">
        <x:f t="shared" si="0"/>
      </x:c>
      <x:c r="B22" s="4"/>
      <x:c r="C22" s="4"/>
      <x:c r="D22" s="4"/>
      <x:c r="E22" s="5"/>
      <x:c r="F22" s="5"/>
      <x:c r="G22" s="5"/>
      <x:c r="H22" s="7" t="str">
        <x:f t="shared" si="1"/>
      </x:c>
      <x:c r="I22" s="6" t="str">
        <x:f t="shared" si="2"/>
      </x:c>
      <x:c r="J22" s="4"/>
      <x:c r="K22" s="4"/>
      <x:c r="L22" s="4"/>
      <x:c r="M22" s="9" t="str">
        <x:f t="shared" si="4"/>
      </x:c>
      <x:c r="N22" s="4"/>
      <x:c r="O22" s="4"/>
      <x:c r="P22" s="4"/>
      <x:c r="Q22" s="4"/>
      <x:c r="R22" s="4"/>
      <x:c r="S22" s="4"/>
      <x:c r="T22" s="5"/>
      <x:c r="U22" s="35" t="str">
        <x:f t="shared" si="3"/>
      </x:c>
    </x:row>
    <x:row r="23" ht="46.650001525878906" customHeight="1">
      <x:c r="A23" s="8" t="str">
        <x:f t="shared" si="0"/>
      </x:c>
      <x:c r="B23" s="4"/>
      <x:c r="C23" s="4"/>
      <x:c r="D23" s="4"/>
      <x:c r="E23" s="5"/>
      <x:c r="F23" s="5"/>
      <x:c r="G23" s="5"/>
      <x:c r="H23" s="7" t="str">
        <x:f t="shared" si="1"/>
      </x:c>
      <x:c r="I23" s="6" t="str">
        <x:f t="shared" si="2"/>
      </x:c>
      <x:c r="J23" s="4"/>
      <x:c r="K23" s="4"/>
      <x:c r="L23" s="4"/>
      <x:c r="M23" s="9" t="str">
        <x:f t="shared" si="4"/>
      </x:c>
      <x:c r="N23" s="4"/>
      <x:c r="O23" s="4"/>
      <x:c r="P23" s="4"/>
      <x:c r="Q23" s="4"/>
      <x:c r="R23" s="4"/>
      <x:c r="S23" s="4"/>
      <x:c r="T23" s="5"/>
      <x:c r="U23" s="35" t="str">
        <x:f t="shared" si="3"/>
      </x:c>
    </x:row>
    <x:row r="24" ht="46.650001525878906" customHeight="1">
      <x:c r="A24" s="8" t="str">
        <x:f t="shared" si="0"/>
      </x:c>
      <x:c r="B24" s="4"/>
      <x:c r="C24" s="4"/>
      <x:c r="D24" s="4"/>
      <x:c r="E24" s="5"/>
      <x:c r="F24" s="5"/>
      <x:c r="G24" s="5"/>
      <x:c r="H24" s="7" t="str">
        <x:f t="shared" si="1"/>
      </x:c>
      <x:c r="I24" s="6" t="str">
        <x:f t="shared" si="2"/>
      </x:c>
      <x:c r="J24" s="4"/>
      <x:c r="K24" s="4"/>
      <x:c r="L24" s="4"/>
      <x:c r="M24" s="9" t="str">
        <x:f t="shared" si="4"/>
      </x:c>
      <x:c r="N24" s="4"/>
      <x:c r="O24" s="4"/>
      <x:c r="P24" s="4"/>
      <x:c r="Q24" s="4"/>
      <x:c r="R24" s="4"/>
      <x:c r="S24" s="4"/>
      <x:c r="T24" s="5"/>
      <x:c r="U24" s="35" t="str">
        <x:f t="shared" si="3"/>
      </x:c>
    </x:row>
    <x:row r="25" ht="46.650001525878906" customHeight="1">
      <x:c r="A25" s="8" t="str">
        <x:f t="shared" si="0"/>
      </x:c>
      <x:c r="B25" s="4"/>
      <x:c r="C25" s="4"/>
      <x:c r="D25" s="4"/>
      <x:c r="E25" s="5"/>
      <x:c r="F25" s="5"/>
      <x:c r="G25" s="5"/>
      <x:c r="H25" s="7" t="str">
        <x:f t="shared" si="1"/>
      </x:c>
      <x:c r="I25" s="6" t="str">
        <x:f t="shared" si="2"/>
      </x:c>
      <x:c r="J25" s="4"/>
      <x:c r="K25" s="4"/>
      <x:c r="L25" s="4"/>
      <x:c r="M25" s="9" t="str">
        <x:f t="shared" si="4"/>
      </x:c>
      <x:c r="N25" s="4"/>
      <x:c r="O25" s="4"/>
      <x:c r="P25" s="4"/>
      <x:c r="Q25" s="4"/>
      <x:c r="R25" s="4"/>
      <x:c r="S25" s="4"/>
      <x:c r="T25" s="5"/>
      <x:c r="U25" s="35" t="str">
        <x:f t="shared" si="3"/>
      </x:c>
    </x:row>
    <x:row r="26" ht="46.650001525878906" customHeight="1">
      <x:c r="A26" s="8" t="str">
        <x:f t="shared" si="0"/>
      </x:c>
      <x:c r="B26" s="4"/>
      <x:c r="C26" s="4"/>
      <x:c r="D26" s="4"/>
      <x:c r="E26" s="5"/>
      <x:c r="F26" s="5"/>
      <x:c r="G26" s="5"/>
      <x:c r="H26" s="7" t="str">
        <x:f t="shared" si="1"/>
      </x:c>
      <x:c r="I26" s="6" t="str">
        <x:f t="shared" si="2"/>
      </x:c>
      <x:c r="J26" s="4"/>
      <x:c r="K26" s="4"/>
      <x:c r="L26" s="4"/>
      <x:c r="M26" s="9" t="str">
        <x:f t="shared" si="4"/>
      </x:c>
      <x:c r="N26" s="4"/>
      <x:c r="O26" s="4"/>
      <x:c r="P26" s="4"/>
      <x:c r="Q26" s="4"/>
      <x:c r="R26" s="4"/>
      <x:c r="S26" s="4"/>
      <x:c r="T26" s="5"/>
      <x:c r="U26" s="35" t="str">
        <x:f t="shared" si="3"/>
      </x:c>
    </x:row>
    <x:row r="27" ht="46.650001525878906" customHeight="1">
      <x:c r="A27" s="8" t="str">
        <x:f t="shared" si="0"/>
      </x:c>
      <x:c r="B27" s="4"/>
      <x:c r="C27" s="4"/>
      <x:c r="D27" s="4"/>
      <x:c r="E27" s="5"/>
      <x:c r="F27" s="5"/>
      <x:c r="G27" s="5"/>
      <x:c r="H27" s="7" t="str">
        <x:f t="shared" si="1"/>
      </x:c>
      <x:c r="I27" s="6" t="str">
        <x:f t="shared" si="2"/>
      </x:c>
      <x:c r="J27" s="4"/>
      <x:c r="K27" s="4"/>
      <x:c r="L27" s="4"/>
      <x:c r="M27" s="9" t="str">
        <x:f t="shared" si="4"/>
      </x:c>
      <x:c r="N27" s="4"/>
      <x:c r="O27" s="4"/>
      <x:c r="P27" s="4"/>
      <x:c r="Q27" s="4"/>
      <x:c r="R27" s="4"/>
      <x:c r="S27" s="4"/>
      <x:c r="T27" s="5"/>
      <x:c r="U27" s="35" t="str">
        <x:f t="shared" si="3"/>
      </x:c>
    </x:row>
    <x:row r="28" ht="46.650001525878906" customHeight="1">
      <x:c r="A28" s="8" t="str">
        <x:f t="shared" si="0"/>
      </x:c>
      <x:c r="B28" s="4"/>
      <x:c r="C28" s="4"/>
      <x:c r="D28" s="4"/>
      <x:c r="E28" s="5"/>
      <x:c r="F28" s="5"/>
      <x:c r="G28" s="5"/>
      <x:c r="H28" s="7" t="str">
        <x:f t="shared" si="1"/>
      </x:c>
      <x:c r="I28" s="6" t="str">
        <x:f t="shared" si="2"/>
      </x:c>
      <x:c r="J28" s="4"/>
      <x:c r="K28" s="4"/>
      <x:c r="L28" s="4"/>
      <x:c r="M28" s="9" t="str">
        <x:f t="shared" si="4"/>
      </x:c>
      <x:c r="N28" s="4"/>
      <x:c r="O28" s="4"/>
      <x:c r="P28" s="4"/>
      <x:c r="Q28" s="4"/>
      <x:c r="R28" s="4"/>
      <x:c r="S28" s="4"/>
      <x:c r="T28" s="5"/>
      <x:c r="U28" s="35" t="str">
        <x:f t="shared" si="3"/>
      </x:c>
    </x:row>
    <x:row r="29" ht="46.650001525878906" customHeight="1">
      <x:c r="A29" s="8" t="str">
        <x:f t="shared" si="0"/>
      </x:c>
      <x:c r="B29" s="4"/>
      <x:c r="C29" s="4"/>
      <x:c r="D29" s="4"/>
      <x:c r="E29" s="5"/>
      <x:c r="F29" s="5"/>
      <x:c r="G29" s="5"/>
      <x:c r="H29" s="7" t="str">
        <x:f t="shared" si="1"/>
      </x:c>
      <x:c r="I29" s="6" t="str">
        <x:f t="shared" si="2"/>
      </x:c>
      <x:c r="J29" s="4"/>
      <x:c r="K29" s="4"/>
      <x:c r="L29" s="4"/>
      <x:c r="M29" s="9" t="str">
        <x:f t="shared" si="4"/>
      </x:c>
      <x:c r="N29" s="4"/>
      <x:c r="O29" s="4"/>
      <x:c r="P29" s="4"/>
      <x:c r="Q29" s="4"/>
      <x:c r="R29" s="4"/>
      <x:c r="S29" s="4"/>
      <x:c r="T29" s="5"/>
      <x:c r="U29" s="35" t="str">
        <x:f t="shared" si="3"/>
      </x:c>
    </x:row>
    <x:row r="30" ht="46.650001525878906" customHeight="1">
      <x:c r="A30" s="8" t="str">
        <x:f t="shared" si="0"/>
      </x:c>
      <x:c r="B30" s="4"/>
      <x:c r="C30" s="4"/>
      <x:c r="D30" s="4"/>
      <x:c r="E30" s="5"/>
      <x:c r="F30" s="5"/>
      <x:c r="G30" s="5"/>
      <x:c r="H30" s="7" t="str">
        <x:f t="shared" si="1"/>
      </x:c>
      <x:c r="I30" s="6" t="str">
        <x:f t="shared" si="2"/>
      </x:c>
      <x:c r="J30" s="4"/>
      <x:c r="K30" s="4"/>
      <x:c r="L30" s="4"/>
      <x:c r="M30" s="9" t="str">
        <x:f t="shared" si="4"/>
      </x:c>
      <x:c r="N30" s="4"/>
      <x:c r="O30" s="4"/>
      <x:c r="P30" s="4"/>
      <x:c r="Q30" s="4"/>
      <x:c r="R30" s="4"/>
      <x:c r="S30" s="4"/>
      <x:c r="T30" s="5"/>
      <x:c r="U30" s="35" t="str">
        <x:f t="shared" si="3"/>
      </x:c>
    </x:row>
    <x:row r="31" ht="46.650001525878906" customHeight="1">
      <x:c r="A31" s="8" t="str">
        <x:f t="shared" si="0"/>
      </x:c>
      <x:c r="B31" s="4"/>
      <x:c r="C31" s="4"/>
      <x:c r="D31" s="4"/>
      <x:c r="E31" s="5"/>
      <x:c r="F31" s="5"/>
      <x:c r="G31" s="5"/>
      <x:c r="H31" s="7" t="str">
        <x:f t="shared" si="1"/>
      </x:c>
      <x:c r="I31" s="6" t="str">
        <x:f t="shared" si="2"/>
      </x:c>
      <x:c r="J31" s="4"/>
      <x:c r="K31" s="4"/>
      <x:c r="L31" s="4"/>
      <x:c r="M31" s="9" t="str">
        <x:f t="shared" si="4"/>
      </x:c>
      <x:c r="N31" s="4"/>
      <x:c r="O31" s="4"/>
      <x:c r="P31" s="4"/>
      <x:c r="Q31" s="4"/>
      <x:c r="R31" s="4"/>
      <x:c r="S31" s="4"/>
      <x:c r="T31" s="5"/>
      <x:c r="U31" s="35" t="str">
        <x:f t="shared" si="3"/>
      </x:c>
    </x:row>
    <x:row r="32" ht="46.650001525878906" customHeight="1">
      <x:c r="A32" s="8" t="str">
        <x:f t="shared" si="0"/>
      </x:c>
      <x:c r="B32" s="4"/>
      <x:c r="C32" s="4"/>
      <x:c r="D32" s="4"/>
      <x:c r="E32" s="5"/>
      <x:c r="F32" s="5"/>
      <x:c r="G32" s="5"/>
      <x:c r="H32" s="7" t="str">
        <x:f t="shared" si="1"/>
      </x:c>
      <x:c r="I32" s="6" t="str">
        <x:f t="shared" si="2"/>
      </x:c>
      <x:c r="J32" s="4"/>
      <x:c r="K32" s="4"/>
      <x:c r="L32" s="4"/>
      <x:c r="M32" s="9" t="str">
        <x:f t="shared" si="4"/>
      </x:c>
      <x:c r="N32" s="4"/>
      <x:c r="O32" s="4"/>
      <x:c r="P32" s="4"/>
      <x:c r="Q32" s="4"/>
      <x:c r="R32" s="4"/>
      <x:c r="S32" s="4"/>
      <x:c r="T32" s="5"/>
      <x:c r="U32" s="35" t="str">
        <x:f t="shared" si="3"/>
      </x:c>
    </x:row>
    <x:row r="33" ht="46.650001525878906" customHeight="1">
      <x:c r="A33" s="8" t="str">
        <x:f t="shared" si="0"/>
      </x:c>
      <x:c r="B33" s="4"/>
      <x:c r="C33" s="4"/>
      <x:c r="D33" s="4"/>
      <x:c r="E33" s="5"/>
      <x:c r="F33" s="5"/>
      <x:c r="G33" s="5"/>
      <x:c r="H33" s="7" t="str">
        <x:f t="shared" si="1"/>
      </x:c>
      <x:c r="I33" s="6" t="str">
        <x:f t="shared" si="2"/>
      </x:c>
      <x:c r="J33" s="4"/>
      <x:c r="K33" s="4"/>
      <x:c r="L33" s="4"/>
      <x:c r="M33" s="9" t="str">
        <x:f t="shared" si="4"/>
      </x:c>
      <x:c r="N33" s="4"/>
      <x:c r="O33" s="4"/>
      <x:c r="P33" s="4"/>
      <x:c r="Q33" s="4"/>
      <x:c r="R33" s="4"/>
      <x:c r="S33" s="4"/>
      <x:c r="T33" s="5"/>
      <x:c r="U33" s="35" t="str">
        <x:f t="shared" si="3"/>
      </x:c>
    </x:row>
    <x:row r="34" ht="46.650001525878906" customHeight="1">
      <x:c r="A34" s="8" t="str">
        <x:f t="shared" si="0"/>
      </x:c>
      <x:c r="B34" s="4"/>
      <x:c r="C34" s="4"/>
      <x:c r="D34" s="4"/>
      <x:c r="E34" s="5"/>
      <x:c r="F34" s="5"/>
      <x:c r="G34" s="5"/>
      <x:c r="H34" s="7" t="str">
        <x:f t="shared" si="1"/>
      </x:c>
      <x:c r="I34" s="6" t="str">
        <x:f t="shared" si="2"/>
      </x:c>
      <x:c r="J34" s="4"/>
      <x:c r="K34" s="4"/>
      <x:c r="L34" s="4"/>
      <x:c r="M34" s="9" t="str">
        <x:f t="shared" si="4"/>
      </x:c>
      <x:c r="N34" s="4"/>
      <x:c r="O34" s="4"/>
      <x:c r="P34" s="4"/>
      <x:c r="Q34" s="4"/>
      <x:c r="R34" s="4"/>
      <x:c r="S34" s="4"/>
      <x:c r="T34" s="5"/>
      <x:c r="U34" s="35" t="str">
        <x:f t="shared" si="3"/>
      </x:c>
    </x:row>
    <x:row r="35" ht="46.650001525878906" customHeight="1">
      <x:c r="A35" s="8" t="str">
        <x:f t="shared" si="0"/>
      </x:c>
      <x:c r="B35" s="4"/>
      <x:c r="C35" s="4"/>
      <x:c r="D35" s="4"/>
      <x:c r="E35" s="5"/>
      <x:c r="F35" s="5"/>
      <x:c r="G35" s="5"/>
      <x:c r="H35" s="7" t="str">
        <x:f t="shared" si="1"/>
      </x:c>
      <x:c r="I35" s="6" t="str">
        <x:f t="shared" si="2"/>
      </x:c>
      <x:c r="J35" s="4"/>
      <x:c r="K35" s="4"/>
      <x:c r="L35" s="4"/>
      <x:c r="M35" s="9" t="str">
        <x:f t="shared" si="4"/>
      </x:c>
      <x:c r="N35" s="4"/>
      <x:c r="O35" s="4"/>
      <x:c r="P35" s="4"/>
      <x:c r="Q35" s="4"/>
      <x:c r="R35" s="4"/>
      <x:c r="S35" s="4"/>
      <x:c r="T35" s="5"/>
      <x:c r="U35" s="35" t="str">
        <x:f t="shared" si="3"/>
      </x:c>
    </x:row>
    <x:row r="36" ht="46.650001525878906" customHeight="1">
      <x:c r="A36" s="8" t="str">
        <x:f t="shared" si="0"/>
      </x:c>
      <x:c r="B36" s="4"/>
      <x:c r="C36" s="4"/>
      <x:c r="D36" s="4"/>
      <x:c r="E36" s="5"/>
      <x:c r="F36" s="5"/>
      <x:c r="G36" s="5"/>
      <x:c r="H36" s="7" t="str">
        <x:f t="shared" si="1"/>
      </x:c>
      <x:c r="I36" s="6" t="str">
        <x:f t="shared" si="2"/>
      </x:c>
      <x:c r="J36" s="4"/>
      <x:c r="K36" s="4"/>
      <x:c r="L36" s="4"/>
      <x:c r="M36" s="9" t="str">
        <x:f t="shared" si="4"/>
      </x:c>
      <x:c r="N36" s="4"/>
      <x:c r="O36" s="4"/>
      <x:c r="P36" s="4"/>
      <x:c r="Q36" s="4"/>
      <x:c r="R36" s="4"/>
      <x:c r="S36" s="4"/>
      <x:c r="T36" s="5"/>
      <x:c r="U36" s="35" t="str">
        <x:f t="shared" si="3"/>
      </x:c>
    </x:row>
    <x:row r="37" ht="46.650001525878906" customHeight="1">
      <x:c r="A37" s="8" t="str">
        <x:f t="shared" si="0"/>
      </x:c>
      <x:c r="B37" s="4"/>
      <x:c r="C37" s="4"/>
      <x:c r="D37" s="4"/>
      <x:c r="E37" s="5"/>
      <x:c r="F37" s="5"/>
      <x:c r="G37" s="5"/>
      <x:c r="H37" s="7" t="str">
        <x:f t="shared" si="1"/>
      </x:c>
      <x:c r="I37" s="6" t="str">
        <x:f t="shared" si="2"/>
      </x:c>
      <x:c r="J37" s="4"/>
      <x:c r="K37" s="4"/>
      <x:c r="L37" s="4"/>
      <x:c r="M37" s="9" t="str">
        <x:f t="shared" si="4"/>
      </x:c>
      <x:c r="N37" s="4"/>
      <x:c r="O37" s="4"/>
      <x:c r="P37" s="4"/>
      <x:c r="Q37" s="4"/>
      <x:c r="R37" s="4"/>
      <x:c r="S37" s="4"/>
      <x:c r="T37" s="5"/>
      <x:c r="U37" s="35" t="str">
        <x:f t="shared" si="3"/>
      </x:c>
    </x:row>
    <x:row r="38" ht="46.650001525878906" customHeight="1">
      <x:c r="A38" s="8" t="str">
        <x:f t="shared" si="0"/>
      </x:c>
      <x:c r="B38" s="4"/>
      <x:c r="C38" s="4"/>
      <x:c r="D38" s="4"/>
      <x:c r="E38" s="5"/>
      <x:c r="F38" s="5"/>
      <x:c r="G38" s="5"/>
      <x:c r="H38" s="7" t="str">
        <x:f t="shared" si="1"/>
      </x:c>
      <x:c r="I38" s="6" t="str">
        <x:f t="shared" si="2"/>
      </x:c>
      <x:c r="J38" s="4"/>
      <x:c r="K38" s="4"/>
      <x:c r="L38" s="4"/>
      <x:c r="M38" s="9" t="str">
        <x:f t="shared" si="4"/>
      </x:c>
      <x:c r="N38" s="4"/>
      <x:c r="O38" s="4"/>
      <x:c r="P38" s="4"/>
      <x:c r="Q38" s="4"/>
      <x:c r="R38" s="4"/>
      <x:c r="S38" s="4"/>
      <x:c r="T38" s="5"/>
      <x:c r="U38" s="35" t="str">
        <x:f t="shared" si="3"/>
      </x:c>
    </x:row>
    <x:row r="39" ht="46.650001525878906" customHeight="1">
      <x:c r="A39" s="8" t="str">
        <x:f t="shared" si="0"/>
      </x:c>
      <x:c r="B39" s="4"/>
      <x:c r="C39" s="4"/>
      <x:c r="D39" s="4"/>
      <x:c r="E39" s="5"/>
      <x:c r="F39" s="5"/>
      <x:c r="G39" s="5"/>
      <x:c r="H39" s="7" t="str">
        <x:f t="shared" si="1"/>
      </x:c>
      <x:c r="I39" s="6" t="str">
        <x:f t="shared" si="2"/>
      </x:c>
      <x:c r="J39" s="4"/>
      <x:c r="K39" s="4"/>
      <x:c r="L39" s="4"/>
      <x:c r="M39" s="9" t="str">
        <x:f t="shared" si="4"/>
      </x:c>
      <x:c r="N39" s="4"/>
      <x:c r="O39" s="4"/>
      <x:c r="P39" s="4"/>
      <x:c r="Q39" s="4"/>
      <x:c r="R39" s="4"/>
      <x:c r="S39" s="4"/>
      <x:c r="T39" s="5"/>
      <x:c r="U39" s="35" t="str">
        <x:f t="shared" si="3"/>
      </x:c>
    </x:row>
    <x:row r="40" ht="46.650001525878906" customHeight="1">
      <x:c r="A40" s="8" t="str">
        <x:f t="shared" si="0"/>
      </x:c>
      <x:c r="B40" s="4"/>
      <x:c r="C40" s="4"/>
      <x:c r="D40" s="4"/>
      <x:c r="E40" s="5"/>
      <x:c r="F40" s="5"/>
      <x:c r="G40" s="5"/>
      <x:c r="H40" s="7" t="str">
        <x:f t="shared" si="1"/>
      </x:c>
      <x:c r="I40" s="6" t="str">
        <x:f t="shared" si="2"/>
      </x:c>
      <x:c r="J40" s="4"/>
      <x:c r="K40" s="4"/>
      <x:c r="L40" s="4"/>
      <x:c r="M40" s="9" t="str">
        <x:f t="shared" si="4"/>
      </x:c>
      <x:c r="N40" s="4"/>
      <x:c r="O40" s="4"/>
      <x:c r="P40" s="4"/>
      <x:c r="Q40" s="4"/>
      <x:c r="R40" s="4"/>
      <x:c r="S40" s="4"/>
      <x:c r="T40" s="5"/>
      <x:c r="U40" s="35" t="str">
        <x:f t="shared" si="3"/>
      </x:c>
    </x:row>
    <x:row r="41" ht="46.650001525878906" customHeight="1">
      <x:c r="A41" s="8" t="str">
        <x:f t="shared" si="0"/>
      </x:c>
      <x:c r="B41" s="4"/>
      <x:c r="C41" s="4"/>
      <x:c r="D41" s="4"/>
      <x:c r="E41" s="5"/>
      <x:c r="F41" s="5"/>
      <x:c r="G41" s="5"/>
      <x:c r="H41" s="7" t="str">
        <x:f t="shared" si="1"/>
      </x:c>
      <x:c r="I41" s="6" t="str">
        <x:f t="shared" si="2"/>
      </x:c>
      <x:c r="J41" s="4"/>
      <x:c r="K41" s="4"/>
      <x:c r="L41" s="4"/>
      <x:c r="M41" s="9" t="str">
        <x:f t="shared" si="4"/>
      </x:c>
      <x:c r="N41" s="4"/>
      <x:c r="O41" s="4"/>
      <x:c r="P41" s="4"/>
      <x:c r="Q41" s="4"/>
      <x:c r="R41" s="4"/>
      <x:c r="S41" s="4"/>
      <x:c r="T41" s="5"/>
      <x:c r="U41" s="35" t="str">
        <x:f t="shared" si="3"/>
      </x:c>
    </x:row>
    <x:row r="42" ht="46.650001525878906" customHeight="1">
      <x:c r="A42" s="8" t="str">
        <x:f t="shared" si="0"/>
      </x:c>
      <x:c r="B42" s="4"/>
      <x:c r="C42" s="4"/>
      <x:c r="D42" s="4"/>
      <x:c r="E42" s="5"/>
      <x:c r="F42" s="5"/>
      <x:c r="G42" s="5"/>
      <x:c r="H42" s="7" t="str">
        <x:f t="shared" si="1"/>
      </x:c>
      <x:c r="I42" s="6" t="str">
        <x:f t="shared" si="2"/>
      </x:c>
      <x:c r="J42" s="4"/>
      <x:c r="K42" s="4"/>
      <x:c r="L42" s="4"/>
      <x:c r="M42" s="9" t="str">
        <x:f t="shared" si="4"/>
      </x:c>
      <x:c r="N42" s="4"/>
      <x:c r="O42" s="4"/>
      <x:c r="P42" s="4"/>
      <x:c r="Q42" s="4"/>
      <x:c r="R42" s="4"/>
      <x:c r="S42" s="4"/>
      <x:c r="T42" s="5"/>
      <x:c r="U42" s="35" t="str">
        <x:f t="shared" si="3"/>
      </x:c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2">
    <x:cfRule type="expression" dxfId="74" priority="6">
      <x:formula>AND($C9&lt;&gt;"",$M9="")</x:formula>
    </x:cfRule>
  </x:conditionalFormatting>
  <x:conditionalFormatting sqref="A9:T499">
    <x:cfRule type="expression" dxfId="73" priority="7">
      <x:formula>$B9="Merchant"</x:formula>
    </x:cfRule>
    <x:cfRule type="expression" dxfId="72" priority="8">
      <x:formula>$B9="Remittance"</x:formula>
    </x:cfRule>
    <x:cfRule type="expression" dxfId="71" priority="15">
      <x:formula>AND($C9&lt;&gt;"",$M9="")</x:formula>
    </x:cfRule>
  </x:conditionalFormatting>
  <x:conditionalFormatting sqref="B9:B499">
    <x:cfRule type="expression" dxfId="70" priority="9">
      <x:formula>B9="Remittance"</x:formula>
    </x:cfRule>
  </x:conditionalFormatting>
  <x:conditionalFormatting sqref="I9:I499">
    <x:cfRule type="expression" dxfId="69" priority="1">
      <x:formula>I9="Active"</x:formula>
    </x:cfRule>
    <x:cfRule type="expression" dxfId="68" priority="2">
      <x:formula>I9="End Date Not Stated"</x:formula>
    </x:cfRule>
    <x:cfRule type="expression" dxfId="67" priority="3">
      <x:formula>I9="Expiring ≤7 Days"</x:formula>
    </x:cfRule>
    <x:cfRule type="expression" dxfId="66" priority="4">
      <x:formula>I9="Expiring 8–30 Days"</x:formula>
    </x:cfRule>
    <x:cfRule type="expression" dxfId="65" priority="5">
      <x:formula>I9="Expired"</x:formula>
    </x:cfRule>
  </x:conditionalFormatting>
  <x:conditionalFormatting sqref="U9:U42">
    <x:cfRule type="expression" dxfId="64" priority="16">
      <x:formula>U9="No direct social post verified"</x:formula>
    </x:cfRule>
  </x:conditionalFormatting>
  <x:dataValidations count="1">
    <x:dataValidation type="list" sqref="B9:B499">
      <x:formula1>"Remittance,Musaned,SADAD,Card,Merchant,Engagement,Other"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97a54acd1e44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</x:cols>
  <x:sheetData>
    <x:row r="1" ht="22.649999618530273" customHeight="1">
      <x:c r="A1" s="52" t="s">
        <x:v>159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3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str">
        <x:v>Merchant Offers (Count Only): 0</x:v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COUNTIFS('Mobily Pay'!$C$9:$C$500,"&lt;&gt;",'Mobily Pay'!$M$9:$M$500,"&lt;&gt;")</x:f>
        <x:v>6</x:v>
      </x:c>
      <x:c r="B5" s="53"/>
      <x:c r="C5" s="53"/>
      <x:c r="D5" s="53" t="n">
        <x:f>COUNTIFS('Mobily Pay'!$C$9:$C$500,"&lt;&gt;",'Mobily Pay'!$I$9:$I$500,"End Date Not Stated")</x:f>
        <x:v>1</x:v>
      </x:c>
      <x:c r="E5" s="53" t="n">
        <x:f>COUNTIFS('Mobily Pay'!$C$9:$C$500,"&lt;&gt;",'Mobily Pay'!$I$9:$I$500,"End Date Not Stated")</x:f>
        <x:v>1</x:v>
      </x:c>
      <x:c r="F5" s="53"/>
      <x:c r="G5" s="53" t="n">
        <x:f>COUNTIFS('Mobily Pay'!$C$9:$C$500,"&lt;&gt;",'Mobily Pay'!$B$9:$B$500,"Remittance")</x:f>
        <x:v>3</x:v>
      </x:c>
      <x:c r="H5" s="53"/>
      <x:c r="I5" s="54" t="n">
        <x:f>COUNTIFS('Mobily Pay'!$C$9:$C$500,"&lt;&gt;",'Mobily Pay'!$B$9:$B$500,"Remittance")</x:f>
        <x:v>3</x:v>
      </x:c>
      <x:c r="J5" s="54" t="n">
        <x:f>COUNTIFS('Mobily Pay'!$C$9:$C$500,"&lt;&gt;",'Mobily Pay'!$I$9:$I$500,"Expiring ≤7 Days")+COUNTIFS('Mobily Pay'!$C$9:$C$500,"&lt;&gt;",'Mobily Pay'!$I$9:$I$500,"Expiring 8–30 Days")</x:f>
        <x:v>0</x:v>
      </x:c>
      <x:c r="K5" s="54"/>
      <x:c r="L5" s="54"/>
      <x:c r="M5" s="55" t="n">
        <x:v>0</x:v>
      </x:c>
      <x:c r="N5" s="55"/>
      <x:c r="O5" s="55"/>
      <x:c r="P5" s="55"/>
      <x:c r="Q5" s="53" t="n">
        <x:f>COUNTIFS('Mobily Pay'!$C$9:$C$500,"&lt;&gt;",'Mobily Pay'!$I$9:$I$500,"Expiring ≤7 Days")+COUNTIFS('Mobily Pay'!$C$9:$C$500,"&lt;&gt;",'Mobily Pay'!$I$9:$I$500,"Expiring 8–30 Days")</x:f>
        <x:v>0</x:v>
      </x:c>
      <x:c r="R5" s="53"/>
      <x:c r="S5" s="53"/>
      <x:c r="T5" s="53"/>
    </x:row>
    <x:row r="8" ht="30.649999618530273" customHeight="1">
      <x:c r="A8" s="3" t="s">
        <x:v>4</x:v>
      </x:c>
      <x:c r="B8" s="3" t="s">
        <x:v>5</x:v>
      </x:c>
      <x:c r="C8" s="3" t="s">
        <x:v>6</x:v>
      </x:c>
      <x:c r="D8" s="3" t="s">
        <x:v>7</x:v>
      </x:c>
      <x:c r="E8" s="3" t="s">
        <x:v>8</x:v>
      </x:c>
      <x:c r="F8" s="3" t="s">
        <x:v>9</x:v>
      </x:c>
      <x:c r="G8" s="3" t="s">
        <x:v>10</x:v>
      </x:c>
      <x:c r="H8" s="3" t="s">
        <x:v>11</x:v>
      </x:c>
      <x:c r="I8" s="3" t="s">
        <x:v>12</x:v>
      </x:c>
      <x:c r="J8" s="3" t="s">
        <x:v>13</x:v>
      </x:c>
      <x:c r="K8" s="3" t="s">
        <x:v>14</x:v>
      </x:c>
      <x:c r="L8" s="3" t="s">
        <x:v>15</x:v>
      </x:c>
      <x:c r="M8" s="3" t="s">
        <x:v>16</x:v>
      </x:c>
      <x:c r="N8" s="3" t="s">
        <x:v>17</x:v>
      </x:c>
      <x:c r="O8" s="3" t="s">
        <x:v>18</x:v>
      </x:c>
      <x:c r="P8" s="3" t="s">
        <x:v>19</x:v>
      </x:c>
      <x:c r="Q8" s="3" t="s">
        <x:v>20</x:v>
      </x:c>
      <x:c r="R8" s="3" t="s">
        <x:v>21</x:v>
      </x:c>
      <x:c r="S8" s="3" t="s">
        <x:v>22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s">
        <x:v>141</x:v>
      </x:c>
      <x:c r="C9" s="4" t="str">
        <x:v>International Transfer Prize Draw – SAR 110,000</x:v>
      </x:c>
      <x:c r="D9" s="4" t="str">
        <x:v>Each qualifying international transfer of SAR 1,000 or more entered a daily draw; 110 customers won SAR 1,000 each.</x:v>
      </x:c>
      <x:c r="E9" s="5"/>
      <x:c r="F9" s="5" t="n">
        <x:v>46188</x:v>
      </x:c>
      <x:c r="G9" s="5" t="n">
        <x:v>46209</x:v>
      </x:c>
      <x:c r="H9" s="7" t="n">
        <x:f t="shared" ref="H9:H42" si="1">IF(OR(C9="",G9=""),"",G9-TODAY())</x:f>
        <x:v>-51</x:v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Expired</x:v>
      </x:c>
      <x:c r="J9" s="4" t="str">
        <x:v>International transfers</x:v>
      </x:c>
      <x:c r="K9" s="4" t="str">
        <x:v>Five daily winners; SAR 1,000 per winner; 110 total winners and SAR 110,000 total prize pool</x:v>
      </x:c>
      <x:c r="L9" s="4" t="str">
        <x:v>Mobily Pay customers making international transfers of SAR 1,000 or more</x:v>
      </x:c>
      <x:c r="M9" s="9" t="str">
        <x:f t="shared" ref="M9:M42" si="3">IF(C9="","",IF(N9&lt;&gt;"",N9,IF(O9&lt;&gt;"",O9,IF(P9&lt;&gt;"",P9,IF(Q9&lt;&gt;"",Q9,IF(R9&lt;&gt;"",R9,""))))))</x:f>
        <x:v>https://mobilypay.sa/ar/offers/offer-51.html</x:v>
      </x:c>
      <x:c r="N9" s="63" t="str">
        <x:v>https://mobilypay.sa/ar/offers/offer-51.html</x:v>
      </x:c>
      <x:c r="O9" s="63" t="s">
        <x:v>160</x:v>
      </x:c>
      <x:c r="P9" s="63" t="s">
        <x:v>161</x:v>
      </x:c>
      <x:c r="Q9" s="63" t="s">
        <x:v>162</x:v>
      </x:c>
      <x:c r="R9" s="4"/>
      <x:c r="S9" s="4" t="str">
        <x:v>Campaign ran from 15 June to 6 July 2026 and is now expired. Cancelled or refunded transfers were excluded.</x:v>
      </x:c>
      <x:c r="T9" s="5" t="n">
        <x:v>46240</x:v>
      </x:c>
      <x:c r="U9" s="35" t="str">
        <x:f t="shared" ref="U9:U42" si="4">IF(C9="","",IF(COUNTA(O9:R9)=0,"No direct social post verified",IF(O9&lt;&gt;"","Instagram","")&amp;IF(AND(O9&lt;&gt;"",OR(P9&lt;&gt;"",Q9&lt;&gt;"",R9&lt;&gt;"")),", ","")&amp;IF(P9&lt;&gt;"","X","")&amp;IF(AND(P9&lt;&gt;"",OR(Q9&lt;&gt;"",R9&lt;&gt;"")),", ","")&amp;IF(Q9&lt;&gt;"","Facebook","")&amp;IF(AND(Q9&lt;&gt;"",R9&lt;&gt;""),", ","")&amp;IF(R9&lt;&gt;"","TikTok","")))</x:f>
        <x:v>Instagram, X, Facebook</x:v>
      </x:c>
    </x:row>
    <x:row r="10" ht="46.650001525878906" customHeight="1">
      <x:c r="A10" s="8" t="n">
        <x:f t="shared" si="0">IF(C10="","",ROW()-8)</x:f>
        <x:v>2</x:v>
      </x:c>
      <x:c r="B10" s="4" t="s">
        <x:v>141</x:v>
      </x:c>
      <x:c r="C10" s="4" t="str">
        <x:v>Zero-Fee International Transfers – Aug–Oct 2026</x:v>
      </x:c>
      <x:c r="D10" s="4" t="str">
        <x:v>Qualifying international transfers are offered with zero transfer fees under corridor and amount thresholds stated on the official campaign page.</x:v>
      </x:c>
      <x:c r="E10" s="5"/>
      <x:c r="F10" s="5" t="n">
        <x:v>46235</x:v>
      </x:c>
      <x:c r="G10" s="5" t="n">
        <x:v>46326</x:v>
      </x:c>
      <x:c r="H10" s="7" t="n">
        <x:f t="shared" si="1">IF(OR(C10="",G10=""),"",G10-TODAY())</x:f>
        <x:v>66</x:v>
      </x:c>
      <x:c r="I10" s="6" t="str">
        <x:f t="shared" si="2">IF(C10="","",IF(G10="","End Date Not Stated",IF(G10&lt;TODAY(),"Expired",IF(G10&lt;=TODAY()+7,"Expiring ≤7 Days",IF(G10&lt;=TODAY()+30,"Expiring 8–30 Days","Active")))))</x:f>
        <x:v>Active</x:v>
      </x:c>
      <x:c r="J10" s="4" t="str">
        <x:v>International transfers through MoneyGram</x:v>
      </x:c>
      <x:c r="K10" s="4" t="str">
        <x:v>Zero transfer fees on qualifying transfers; standard SAR 9 fees apply below certain corridor/amount thresholds</x:v>
      </x:c>
      <x:c r="L10" s="4" t="str">
        <x:v>Mobily Pay customers; corridor, currency, amount threshold, VAT and MoneyGram terms apply</x:v>
      </x:c>
      <x:c r="M10" s="9" t="str">
        <x:f t="shared" si="3">IF(C10="","",IF(N10&lt;&gt;"",N10,IF(O10&lt;&gt;"",O10,IF(P10&lt;&gt;"",P10,IF(Q10&lt;&gt;"",Q10,IF(R10&lt;&gt;"",R10,""))))))</x:f>
        <x:v>https://mobilypay.sa/ar/offers/offer-56.html</x:v>
      </x:c>
      <x:c r="N10" s="4" t="str">
        <x:v>https://mobilypay.sa/ar/offers/offer-56.html</x:v>
      </x:c>
      <x:c r="O10" s="63" t="s">
        <x:v>163</x:v>
      </x:c>
      <x:c r="P10" s="4"/>
      <x:c r="Q10" s="63" t="s">
        <x:v>164</x:v>
      </x:c>
      <x:c r="R10" s="4"/>
      <x:c r="S10" s="4" t="str">
        <x:v>Campaign is valid from 1 August to 31 October 2026. The official page lists different fee thresholds by corridor/currency; all listed fees are subject to VAT.</x:v>
      </x:c>
      <x:c r="T10" s="5" t="n">
        <x:v>46240</x:v>
      </x:c>
      <x:c r="U10" s="35" t="str">
        <x:f t="shared" si="4">IF(C10="","",IF(COUNTA(O10:R10)=0,"No direct social post verified",IF(O10&lt;&gt;"","Instagram","")&amp;IF(AND(O10&lt;&gt;"",OR(P10&lt;&gt;"",Q10&lt;&gt;"",R10&lt;&gt;"")),", ","")&amp;IF(P10&lt;&gt;"","X","")&amp;IF(AND(P10&lt;&gt;"",OR(Q10&lt;&gt;"",R10&lt;&gt;"")),", ","")&amp;IF(Q10&lt;&gt;"","Facebook","")&amp;IF(AND(Q10&lt;&gt;"",R10&lt;&gt;""),", ","")&amp;IF(R10&lt;&gt;"","TikTok","")))</x:f>
        <x:v>Instagram, Facebook</x:v>
      </x:c>
    </x:row>
    <x:row r="11" ht="46.650001525878906" customHeight="1">
      <x:c r="A11" s="8" t="n">
        <x:f t="shared" si="0">IF(C11="","",ROW()-8)</x:f>
        <x:v>3</x:v>
      </x:c>
      <x:c r="B11" s="4" t="s">
        <x:v>141</x:v>
      </x:c>
      <x:c r="C11" s="4" t="s">
        <x:v>165</x:v>
      </x:c>
      <x:c r="D11" s="4" t="s">
        <x:v>166</x:v>
      </x:c>
      <x:c r="E11" s="5"/>
      <x:c r="F11" s="5"/>
      <x:c r="G11" s="5"/>
      <x:c r="H11" s="7" t="str">
        <x:f t="shared" si="1">IF(OR(C11="",G11=""),"",G11-TODAY())</x:f>
      </x:c>
      <x:c r="I11" s="6" t="str">
        <x:f t="shared" si="2">IF(C11="","",IF(G11="","End Date Not Stated",IF(G11&lt;TODAY(),"Expired",IF(G11&lt;=TODAY()+7,"Expiring ≤7 Days",IF(G11&lt;=TODAY()+30,"Expiring 8–30 Days","Active")))))</x:f>
        <x:v>End Date Not Stated</x:v>
      </x:c>
      <x:c r="J11" s="4" t="s">
        <x:v>144</x:v>
      </x:c>
      <x:c r="K11" s="4" t="s">
        <x:v>167</x:v>
      </x:c>
      <x:c r="L11" s="4" t="s">
        <x:v>168</x:v>
      </x:c>
      <x:c r="M11" s="9" t="str">
        <x:f t="shared" si="3">IF(C11="","",IF(N11&lt;&gt;"",N11,IF(O11&lt;&gt;"",O11,IF(P11&lt;&gt;"",P11,IF(Q11&lt;&gt;"",Q11,IF(R11&lt;&gt;"",R11,""))))))</x:f>
        <x:v>https://www.facebook.com/mobilypay/videos/sar-20000-is-waiting-for-you-make-an-international-transfer-with-mobilypay-and-i/4300117560266135/</x:v>
      </x:c>
      <x:c r="N11" s="4"/>
      <x:c r="O11" s="4"/>
      <x:c r="P11" s="4"/>
      <x:c r="Q11" s="63" t="s">
        <x:v>169</x:v>
      </x:c>
      <x:c r="R11" s="4"/>
      <x:c r="S11" s="4" t="s">
        <x:v>170</x:v>
      </x:c>
      <x:c r="T11" s="5" t="n">
        <x:v>46240</x:v>
      </x:c>
      <x:c r="U11" s="35" t="str">
        <x:f t="shared" si="4">IF(C11="","",IF(COUNTA(O11:R11)=0,"No direct social post verified",IF(O11&lt;&gt;"","Instagram","")&amp;IF(AND(O11&lt;&gt;"",OR(P11&lt;&gt;"",Q11&lt;&gt;"",R11&lt;&gt;"")),", ","")&amp;IF(P11&lt;&gt;"","X","")&amp;IF(AND(P11&lt;&gt;"",OR(Q11&lt;&gt;"",R11&lt;&gt;"")),", ","")&amp;IF(Q11&lt;&gt;"","Facebook","")&amp;IF(AND(Q11&lt;&gt;"",R11&lt;&gt;""),", ","")&amp;IF(R11&lt;&gt;"","TikTok","")))</x:f>
        <x:v>Facebook</x:v>
      </x:c>
    </x:row>
    <x:row r="12" ht="46.650001525878906" customHeight="1">
      <x:c r="A12" s="8" t="n">
        <x:f t="shared" si="0">IF(C12="","",ROW()-8)</x:f>
        <x:v>4</x:v>
      </x:c>
      <x:c r="B12" s="4" t="s">
        <x:v>55</x:v>
      </x:c>
      <x:c r="C12" s="4" t="s">
        <x:v>171</x:v>
      </x:c>
      <x:c r="D12" s="4" t="s">
        <x:v>172</x:v>
      </x:c>
      <x:c r="E12" s="5"/>
      <x:c r="F12" s="5">
        <x:v>45505</x:v>
      </x:c>
      <x:c r="G12" s="5">
        <x:v>46387</x:v>
      </x:c>
      <x:c r="H12" s="7" t="n">
        <x:f t="shared" si="1">IF(OR(C12="",G12=""),"",G12-TODAY())</x:f>
        <x:v>127</x:v>
      </x:c>
      <x:c r="I12" s="6" t="str">
        <x:f t="shared" si="2">IF(C12="","",IF(G12="","End Date Not Stated",IF(G12&lt;TODAY(),"Expired",IF(G12&lt;=TODAY()+7,"Expiring ≤7 Days",IF(G12&lt;=TODAY()+30,"Expiring 8–30 Days","Active")))))</x:f>
        <x:v>Active</x:v>
      </x:c>
      <x:c r="J12" s="4" t="s">
        <x:v>173</x:v>
      </x:c>
      <x:c r="K12" s="4" t="s">
        <x:v>174</x:v>
      </x:c>
      <x:c r="L12" s="4" t="s">
        <x:v>175</x:v>
      </x:c>
      <x:c r="M12" s="9" t="str">
        <x:f t="shared" si="3">IF(C12="","",IF(N12&lt;&gt;"",N12,IF(O12&lt;&gt;"",O12,IF(P12&lt;&gt;"",P12,IF(Q12&lt;&gt;"",Q12,IF(R12&lt;&gt;"",R12,""))))))</x:f>
        <x:v>https://mobilypay.sa/offer-details.html?id=offer-6</x:v>
      </x:c>
      <x:c r="N12" s="4" t="s">
        <x:v>176</x:v>
      </x:c>
      <x:c r="O12" s="4"/>
      <x:c r="P12" s="4"/>
      <x:c r="Q12" s="4"/>
      <x:c r="R12" s="4"/>
      <x:c r="S12" s="4" t="s">
        <x:v>177</x:v>
      </x:c>
      <x:c r="T12" s="5" t="n">
        <x:v>46240</x:v>
      </x:c>
      <x:c r="U12" s="35" t="str">
        <x:f t="shared" si="4">IF(C12="","",IF(COUNTA(O12:R12)=0,"No direct social post verified",IF(O12&lt;&gt;"","Instagram","")&amp;IF(AND(O12&lt;&gt;"",OR(P12&lt;&gt;"",Q12&lt;&gt;"",R12&lt;&gt;"")),", ","")&amp;IF(P12&lt;&gt;"","X","")&amp;IF(AND(P12&lt;&gt;"",OR(Q12&lt;&gt;"",R12&lt;&gt;"")),", ","")&amp;IF(Q12&lt;&gt;"","Facebook","")&amp;IF(AND(Q12&lt;&gt;"",R12&lt;&gt;""),", ","")&amp;IF(R12&lt;&gt;"","TikTok","")))</x:f>
        <x:v>No direct social post verified</x:v>
      </x:c>
    </x:row>
    <x:row r="13" ht="46.650001525878906" customHeight="1">
      <x:c r="A13" s="8" t="n">
        <x:f t="shared" si="0">IF(C13="","",ROW()-8)</x:f>
        <x:v>5</x:v>
      </x:c>
      <x:c r="B13" s="4" t="s">
        <x:v>23</x:v>
      </x:c>
      <x:c r="C13" s="4" t="s">
        <x:v>178</x:v>
      </x:c>
      <x:c r="D13" s="4" t="s">
        <x:v>179</x:v>
      </x:c>
      <x:c r="E13" s="5"/>
      <x:c r="F13" s="5">
        <x:v>46222</x:v>
      </x:c>
      <x:c r="G13" s="5">
        <x:v>46253</x:v>
      </x:c>
      <x:c r="H13" s="7" t="n">
        <x:f t="shared" si="1">IF(OR(C13="",G13=""),"",G13-TODAY())</x:f>
        <x:v>-7</x:v>
      </x:c>
      <x:c r="I13" s="6" t="str">
        <x:f t="shared" si="2">IF(C13="","",IF(G13="","End Date Not Stated",IF(G13&lt;TODAY(),"Expired",IF(G13&lt;=TODAY()+7,"Expiring ≤7 Days",IF(G13&lt;=TODAY()+30,"Expiring 8–30 Days","Active")))))</x:f>
        <x:v>Expired</x:v>
      </x:c>
      <x:c r="J13" s="4" t="s">
        <x:v>180</x:v>
      </x:c>
      <x:c r="K13" s="1" t="s">
        <x:v>181</x:v>
      </x:c>
      <x:c r="L13" s="4"/>
      <x:c r="M13" s="9" t="str">
        <x:f>IF(C13="","",IF(N13&lt;&gt;"",N13,IF(O13&lt;&gt;"",O13,IF(P13&lt;&gt;"",P13,IF(Q13&lt;&gt;"",Q13,IF(R13&lt;&gt;"",R13,""))))))</x:f>
        <x:v>https://mobilypay.sa/offer-details.html?id=offer-53</x:v>
      </x:c>
      <x:c r="N13" s="63" t="s">
        <x:v>182</x:v>
      </x:c>
      <x:c r="O13" s="4"/>
      <x:c r="P13" s="63" t="s">
        <x:v>183</x:v>
      </x:c>
      <x:c r="Q13" s="63" t="s">
        <x:v>184</x:v>
      </x:c>
      <x:c r="R13" s="63" t="s">
        <x:v>185</x:v>
      </x:c>
      <x:c r="S13" s="4" t="str">
        <x:v>Campaign is valid from 19 July to 19 August 2026. It includes 0% international transaction fees for eligible newly issued Platinum and Signature Visa cards, free plastic-card issuance, and eligible POS/e-commerce purchases.</x:v>
      </x:c>
      <x:c r="T13" s="5" t="n">
        <x:v>46240</x:v>
      </x:c>
      <x:c r="U13" s="35" t="str">
        <x:f t="shared" si="4">IF(C13="","",IF(COUNTA(O13:R13)=0,"No direct social post verified",IF(O13&lt;&gt;"","Instagram","")&amp;IF(AND(O13&lt;&gt;"",OR(P13&lt;&gt;"",Q13&lt;&gt;"",R13&lt;&gt;"")),", ","")&amp;IF(P13&lt;&gt;"","X","")&amp;IF(AND(P13&lt;&gt;"",OR(Q13&lt;&gt;"",R13&lt;&gt;"")),", ","")&amp;IF(Q13&lt;&gt;"","Facebook","")&amp;IF(AND(Q13&lt;&gt;"",R13&lt;&gt;""),", ","")&amp;IF(R13&lt;&gt;"","TikTok","")))</x:f>
        <x:v>X, Facebook, TikTok</x:v>
      </x:c>
    </x:row>
    <x:row r="14" ht="46.650001525878906" customHeight="1">
      <x:c r="A14" s="8" t="n">
        <x:f t="shared" si="0">IF(C14="","",ROW()-8)</x:f>
        <x:v>6</x:v>
      </x:c>
      <x:c r="B14" s="4" t="s">
        <x:v>186</x:v>
      </x:c>
      <x:c r="C14" s="4" t="s">
        <x:v>187</x:v>
      </x:c>
      <x:c r="D14" s="4" t="s">
        <x:v>188</x:v>
      </x:c>
      <x:c r="E14" s="5"/>
      <x:c r="F14" s="5">
        <x:v>46218</x:v>
      </x:c>
      <x:c r="G14" s="5">
        <x:v>46234</x:v>
      </x:c>
      <x:c r="H14" s="7" t="n">
        <x:f t="shared" si="1">IF(OR(C14="",G14=""),"",G14-TODAY())</x:f>
        <x:v>-26</x:v>
      </x:c>
      <x:c r="I14" s="6" t="str">
        <x:f t="shared" si="2">IF(C14="","",IF(G14="","End Date Not Stated",IF(G14&lt;TODAY(),"Expired",IF(G14&lt;=TODAY()+7,"Expiring ≤7 Days",IF(G14&lt;=TODAY()+30,"Expiring 8–30 Days","Active")))))</x:f>
        <x:v>Expired</x:v>
      </x:c>
      <x:c r="J14" s="4" t="s">
        <x:v>189</x:v>
      </x:c>
      <x:c r="K14" s="4" t="s">
        <x:v>190</x:v>
      </x:c>
      <x:c r="L14" s="4" t="s">
        <x:v>191</x:v>
      </x:c>
      <x:c r="M14" s="9" t="str">
        <x:f t="shared" si="3">IF(C14="","",IF(N14&lt;&gt;"",N14,IF(O14&lt;&gt;"",O14,IF(P14&lt;&gt;"",P14,IF(Q14&lt;&gt;"",Q14,IF(R14&lt;&gt;"",R14,""))))))</x:f>
        <x:v>https://mobilypay.sa/offer-details.html?id=offer-54</x:v>
      </x:c>
      <x:c r="N14" s="63" t="s">
        <x:v>192</x:v>
      </x:c>
      <x:c r="O14" s="63" t="s">
        <x:v>193</x:v>
      </x:c>
      <x:c r="P14" s="63" t="s">
        <x:v>194</x:v>
      </x:c>
      <x:c r="Q14" s="63" t="s">
        <x:v>195</x:v>
      </x:c>
      <x:c r="R14" s="4"/>
      <x:c r="S14" s="4" t="str">
        <x:v>Offer ended on 31 July 2026 and is now expired.</x:v>
      </x:c>
      <x:c r="T14" s="5" t="n">
        <x:v>46240</x:v>
      </x:c>
      <x:c r="U14" s="35" t="str">
        <x:f t="shared" si="4">IF(C14="","",IF(COUNTA(O14:R14)=0,"No direct social post verified",IF(O14&lt;&gt;"","Instagram","")&amp;IF(AND(O14&lt;&gt;"",OR(P14&lt;&gt;"",Q14&lt;&gt;"",R14&lt;&gt;"")),", ","")&amp;IF(P14&lt;&gt;"","X","")&amp;IF(AND(P14&lt;&gt;"",OR(Q14&lt;&gt;"",R14&lt;&gt;"")),", ","")&amp;IF(Q14&lt;&gt;"","Facebook","")&amp;IF(AND(Q14&lt;&gt;"",R14&lt;&gt;""),", ","")&amp;IF(R14&lt;&gt;"","TikTok","")))</x:f>
        <x:v>Instagram, X, Facebook</x:v>
      </x:c>
    </x:row>
    <x:row r="15" ht="46.650001525878906" customHeight="1">
      <x:c r="A15" s="8" t="str">
        <x:f t="shared" si="0"/>
      </x:c>
      <x:c r="B15" s="4"/>
      <x:c r="C15" s="4"/>
      <x:c r="D15" s="4"/>
      <x:c r="E15" s="5"/>
      <x:c r="F15" s="5"/>
      <x:c r="G15" s="5"/>
      <x:c r="H15" s="7" t="str">
        <x:f t="shared" si="1"/>
      </x:c>
      <x:c r="I15" s="6" t="str">
        <x:f t="shared" si="2"/>
      </x:c>
      <x:c r="J15" s="4"/>
      <x:c r="K15" s="4"/>
      <x:c r="L15" s="4"/>
      <x:c r="M15" s="9" t="str">
        <x:f t="shared" si="3"/>
      </x:c>
      <x:c r="N15" s="4"/>
      <x:c r="O15" s="4"/>
      <x:c r="P15" s="4"/>
      <x:c r="Q15" s="4"/>
      <x:c r="R15" s="4"/>
      <x:c r="S15" s="4"/>
      <x:c r="T15" s="5"/>
      <x:c r="U15" s="35" t="str">
        <x:f t="shared" si="4"/>
      </x:c>
    </x:row>
    <x:row r="16" ht="46.650001525878906" customHeight="1">
      <x:c r="A16" s="8" t="str">
        <x:f t="shared" si="0"/>
      </x:c>
      <x:c r="B16" s="4"/>
      <x:c r="C16" s="4"/>
      <x:c r="D16" s="4"/>
      <x:c r="E16" s="5"/>
      <x:c r="F16" s="5"/>
      <x:c r="G16" s="5"/>
      <x:c r="H16" s="7" t="str">
        <x:f t="shared" si="1"/>
      </x:c>
      <x:c r="I16" s="6" t="str">
        <x:f t="shared" si="2"/>
      </x:c>
      <x:c r="J16" s="4"/>
      <x:c r="K16" s="4"/>
      <x:c r="L16" s="4"/>
      <x:c r="M16" s="9" t="str">
        <x:f t="shared" si="3"/>
      </x:c>
      <x:c r="N16" s="4"/>
      <x:c r="O16" s="4"/>
      <x:c r="P16" s="4"/>
      <x:c r="Q16" s="4"/>
      <x:c r="R16" s="4"/>
      <x:c r="S16" s="4"/>
      <x:c r="T16" s="5"/>
      <x:c r="U16" s="35" t="str">
        <x:f t="shared" si="4"/>
      </x:c>
    </x:row>
    <x:row r="17" ht="46.650001525878906" customHeight="1">
      <x:c r="A17" s="8" t="str">
        <x:f t="shared" si="0"/>
      </x:c>
      <x:c r="B17" s="4"/>
      <x:c r="C17" s="4"/>
      <x:c r="D17" s="4"/>
      <x:c r="E17" s="5"/>
      <x:c r="F17" s="5"/>
      <x:c r="G17" s="5"/>
      <x:c r="H17" s="7" t="str">
        <x:f t="shared" si="1"/>
      </x:c>
      <x:c r="I17" s="6" t="str">
        <x:f t="shared" si="2"/>
      </x:c>
      <x:c r="J17" s="4"/>
      <x:c r="K17" s="4"/>
      <x:c r="L17" s="4"/>
      <x:c r="M17" s="9" t="str">
        <x:f t="shared" si="3"/>
      </x:c>
      <x:c r="N17" s="4"/>
      <x:c r="O17" s="4"/>
      <x:c r="P17" s="4"/>
      <x:c r="Q17" s="4"/>
      <x:c r="R17" s="4"/>
      <x:c r="S17" s="4"/>
      <x:c r="T17" s="5"/>
      <x:c r="U17" s="35" t="str">
        <x:f t="shared" si="4"/>
      </x:c>
    </x:row>
    <x:row r="18" ht="46.650001525878906" customHeight="1">
      <x:c r="A18" s="8" t="str">
        <x:f t="shared" si="0"/>
      </x:c>
      <x:c r="B18" s="4"/>
      <x:c r="C18" s="4"/>
      <x:c r="D18" s="4"/>
      <x:c r="E18" s="5"/>
      <x:c r="F18" s="5"/>
      <x:c r="G18" s="5"/>
      <x:c r="H18" s="7" t="str">
        <x:f t="shared" si="1"/>
      </x:c>
      <x:c r="I18" s="6" t="str">
        <x:f t="shared" si="2"/>
      </x:c>
      <x:c r="J18" s="4"/>
      <x:c r="K18" s="4"/>
      <x:c r="L18" s="4"/>
      <x:c r="M18" s="9" t="str">
        <x:f t="shared" si="3"/>
      </x:c>
      <x:c r="N18" s="4"/>
      <x:c r="O18" s="4"/>
      <x:c r="P18" s="4"/>
      <x:c r="Q18" s="4"/>
      <x:c r="R18" s="4"/>
      <x:c r="S18" s="4"/>
      <x:c r="T18" s="5"/>
      <x:c r="U18" s="35" t="str">
        <x:f t="shared" si="4"/>
      </x:c>
    </x:row>
    <x:row r="19" ht="46.650001525878906" customHeight="1">
      <x:c r="A19" s="8" t="str">
        <x:f t="shared" si="0"/>
      </x:c>
      <x:c r="B19" s="4"/>
      <x:c r="C19" s="4"/>
      <x:c r="D19" s="4"/>
      <x:c r="E19" s="5"/>
      <x:c r="F19" s="5"/>
      <x:c r="G19" s="5"/>
      <x:c r="H19" s="7" t="str">
        <x:f t="shared" si="1"/>
      </x:c>
      <x:c r="I19" s="6" t="str">
        <x:f t="shared" si="2"/>
      </x:c>
      <x:c r="J19" s="4"/>
      <x:c r="K19" s="4"/>
      <x:c r="L19" s="4"/>
      <x:c r="M19" s="9" t="str">
        <x:f t="shared" si="3"/>
      </x:c>
      <x:c r="N19" s="4"/>
      <x:c r="O19" s="4"/>
      <x:c r="P19" s="4"/>
      <x:c r="Q19" s="4"/>
      <x:c r="R19" s="4"/>
      <x:c r="S19" s="4"/>
      <x:c r="T19" s="5"/>
      <x:c r="U19" s="35" t="str">
        <x:f t="shared" si="4"/>
      </x:c>
    </x:row>
    <x:row r="20" ht="46.650001525878906" customHeight="1">
      <x:c r="A20" s="8" t="str">
        <x:f t="shared" si="0"/>
      </x:c>
      <x:c r="B20" s="4"/>
      <x:c r="C20" s="4"/>
      <x:c r="D20" s="4"/>
      <x:c r="E20" s="5"/>
      <x:c r="F20" s="5"/>
      <x:c r="G20" s="5"/>
      <x:c r="H20" s="7" t="str">
        <x:f t="shared" si="1"/>
      </x:c>
      <x:c r="I20" s="6" t="str">
        <x:f t="shared" si="2"/>
      </x:c>
      <x:c r="J20" s="4"/>
      <x:c r="K20" s="4"/>
      <x:c r="L20" s="4"/>
      <x:c r="M20" s="9" t="str">
        <x:f t="shared" si="3"/>
      </x:c>
      <x:c r="N20" s="4"/>
      <x:c r="O20" s="4"/>
      <x:c r="P20" s="4"/>
      <x:c r="Q20" s="4"/>
      <x:c r="R20" s="4"/>
      <x:c r="S20" s="4"/>
      <x:c r="T20" s="5"/>
      <x:c r="U20" s="35" t="str">
        <x:f t="shared" si="4"/>
      </x:c>
    </x:row>
    <x:row r="21" ht="46.650001525878906" customHeight="1">
      <x:c r="A21" s="8" t="str">
        <x:f t="shared" si="0"/>
      </x:c>
      <x:c r="B21" s="4"/>
      <x:c r="C21" s="4"/>
      <x:c r="D21" s="4"/>
      <x:c r="E21" s="5"/>
      <x:c r="F21" s="5"/>
      <x:c r="G21" s="5"/>
      <x:c r="H21" s="7" t="str">
        <x:f t="shared" si="1"/>
      </x:c>
      <x:c r="I21" s="6" t="str">
        <x:f t="shared" si="2"/>
      </x:c>
      <x:c r="J21" s="4"/>
      <x:c r="K21" s="4"/>
      <x:c r="L21" s="4"/>
      <x:c r="M21" s="9" t="str">
        <x:f t="shared" si="3"/>
      </x:c>
      <x:c r="N21" s="4"/>
      <x:c r="O21" s="4"/>
      <x:c r="P21" s="4"/>
      <x:c r="Q21" s="4"/>
      <x:c r="R21" s="4"/>
      <x:c r="S21" s="4"/>
      <x:c r="T21" s="5"/>
      <x:c r="U21" s="35" t="str">
        <x:f t="shared" si="4"/>
      </x:c>
    </x:row>
    <x:row r="22" ht="46.650001525878906" customHeight="1">
      <x:c r="A22" s="8" t="str">
        <x:f t="shared" si="0"/>
      </x:c>
      <x:c r="B22" s="4"/>
      <x:c r="C22" s="4"/>
      <x:c r="D22" s="4"/>
      <x:c r="E22" s="5"/>
      <x:c r="F22" s="5"/>
      <x:c r="G22" s="5"/>
      <x:c r="H22" s="7" t="str">
        <x:f t="shared" si="1"/>
      </x:c>
      <x:c r="I22" s="6" t="str">
        <x:f t="shared" si="2"/>
      </x:c>
      <x:c r="J22" s="4"/>
      <x:c r="K22" s="4"/>
      <x:c r="L22" s="4"/>
      <x:c r="M22" s="9" t="str">
        <x:f t="shared" si="3"/>
      </x:c>
      <x:c r="N22" s="4"/>
      <x:c r="O22" s="4"/>
      <x:c r="P22" s="4"/>
      <x:c r="Q22" s="4"/>
      <x:c r="R22" s="4"/>
      <x:c r="S22" s="4"/>
      <x:c r="T22" s="5"/>
      <x:c r="U22" s="35" t="str">
        <x:f t="shared" si="4"/>
      </x:c>
    </x:row>
    <x:row r="23" ht="46.650001525878906" customHeight="1">
      <x:c r="A23" s="8" t="str">
        <x:f t="shared" si="0"/>
      </x:c>
      <x:c r="B23" s="4"/>
      <x:c r="C23" s="4"/>
      <x:c r="D23" s="4"/>
      <x:c r="E23" s="5"/>
      <x:c r="F23" s="5"/>
      <x:c r="G23" s="5"/>
      <x:c r="H23" s="7" t="str">
        <x:f t="shared" si="1"/>
      </x:c>
      <x:c r="I23" s="6" t="str">
        <x:f t="shared" si="2"/>
      </x:c>
      <x:c r="J23" s="4"/>
      <x:c r="K23" s="4"/>
      <x:c r="L23" s="4"/>
      <x:c r="M23" s="9" t="str">
        <x:f t="shared" si="3"/>
      </x:c>
      <x:c r="N23" s="4"/>
      <x:c r="O23" s="4"/>
      <x:c r="P23" s="4"/>
      <x:c r="Q23" s="4"/>
      <x:c r="R23" s="4"/>
      <x:c r="S23" s="4"/>
      <x:c r="T23" s="5"/>
      <x:c r="U23" s="35" t="str">
        <x:f t="shared" si="4"/>
      </x:c>
    </x:row>
    <x:row r="24" ht="46.650001525878906" customHeight="1">
      <x:c r="A24" s="8" t="str">
        <x:f t="shared" si="0"/>
      </x:c>
      <x:c r="B24" s="4"/>
      <x:c r="C24" s="4"/>
      <x:c r="D24" s="4"/>
      <x:c r="E24" s="5"/>
      <x:c r="F24" s="5"/>
      <x:c r="G24" s="5"/>
      <x:c r="H24" s="7" t="str">
        <x:f t="shared" si="1"/>
      </x:c>
      <x:c r="I24" s="6" t="str">
        <x:f t="shared" si="2"/>
      </x:c>
      <x:c r="J24" s="4"/>
      <x:c r="K24" s="4"/>
      <x:c r="L24" s="4"/>
      <x:c r="M24" s="9" t="str">
        <x:f t="shared" si="3"/>
      </x:c>
      <x:c r="N24" s="4"/>
      <x:c r="O24" s="4"/>
      <x:c r="P24" s="4"/>
      <x:c r="Q24" s="4"/>
      <x:c r="R24" s="4"/>
      <x:c r="S24" s="4"/>
      <x:c r="T24" s="5"/>
      <x:c r="U24" s="35" t="str">
        <x:f t="shared" si="4"/>
      </x:c>
    </x:row>
    <x:row r="25" ht="46.650001525878906" customHeight="1">
      <x:c r="A25" s="8" t="str">
        <x:f t="shared" si="0"/>
      </x:c>
      <x:c r="B25" s="4"/>
      <x:c r="C25" s="4"/>
      <x:c r="D25" s="4"/>
      <x:c r="E25" s="5"/>
      <x:c r="F25" s="5"/>
      <x:c r="G25" s="5"/>
      <x:c r="H25" s="7" t="str">
        <x:f t="shared" si="1"/>
      </x:c>
      <x:c r="I25" s="6" t="str">
        <x:f t="shared" si="2"/>
      </x:c>
      <x:c r="J25" s="4"/>
      <x:c r="K25" s="4"/>
      <x:c r="L25" s="4"/>
      <x:c r="M25" s="9" t="str">
        <x:f t="shared" si="3"/>
      </x:c>
      <x:c r="N25" s="4"/>
      <x:c r="O25" s="4"/>
      <x:c r="P25" s="4"/>
      <x:c r="Q25" s="4"/>
      <x:c r="R25" s="4"/>
      <x:c r="S25" s="4"/>
      <x:c r="T25" s="5"/>
      <x:c r="U25" s="35" t="str">
        <x:f t="shared" si="4"/>
      </x:c>
    </x:row>
    <x:row r="26" ht="46.650001525878906" customHeight="1">
      <x:c r="A26" s="8" t="str">
        <x:f t="shared" si="0"/>
      </x:c>
      <x:c r="B26" s="4"/>
      <x:c r="C26" s="4"/>
      <x:c r="D26" s="4"/>
      <x:c r="E26" s="5"/>
      <x:c r="F26" s="5"/>
      <x:c r="G26" s="5"/>
      <x:c r="H26" s="7" t="str">
        <x:f t="shared" si="1"/>
      </x:c>
      <x:c r="I26" s="6" t="str">
        <x:f t="shared" si="2"/>
      </x:c>
      <x:c r="J26" s="4"/>
      <x:c r="K26" s="4"/>
      <x:c r="L26" s="4"/>
      <x:c r="M26" s="9" t="str">
        <x:f t="shared" si="3"/>
      </x:c>
      <x:c r="N26" s="4"/>
      <x:c r="O26" s="4"/>
      <x:c r="P26" s="4"/>
      <x:c r="Q26" s="4"/>
      <x:c r="R26" s="4"/>
      <x:c r="S26" s="4"/>
      <x:c r="T26" s="5"/>
      <x:c r="U26" s="35" t="str">
        <x:f t="shared" si="4"/>
      </x:c>
    </x:row>
    <x:row r="27" ht="46.650001525878906" customHeight="1">
      <x:c r="A27" s="8" t="str">
        <x:f t="shared" si="0"/>
      </x:c>
      <x:c r="B27" s="4"/>
      <x:c r="C27" s="4"/>
      <x:c r="D27" s="4"/>
      <x:c r="E27" s="5"/>
      <x:c r="F27" s="5"/>
      <x:c r="G27" s="5"/>
      <x:c r="H27" s="7" t="str">
        <x:f t="shared" si="1"/>
      </x:c>
      <x:c r="I27" s="6" t="str">
        <x:f t="shared" si="2"/>
      </x:c>
      <x:c r="J27" s="4"/>
      <x:c r="K27" s="4"/>
      <x:c r="L27" s="4"/>
      <x:c r="M27" s="9" t="str">
        <x:f t="shared" si="3"/>
      </x:c>
      <x:c r="N27" s="4"/>
      <x:c r="O27" s="4"/>
      <x:c r="P27" s="4"/>
      <x:c r="Q27" s="4"/>
      <x:c r="R27" s="4"/>
      <x:c r="S27" s="4"/>
      <x:c r="T27" s="5"/>
      <x:c r="U27" s="35" t="str">
        <x:f t="shared" si="4"/>
      </x:c>
    </x:row>
    <x:row r="28" ht="46.650001525878906" customHeight="1">
      <x:c r="A28" s="8" t="str">
        <x:f t="shared" si="0"/>
      </x:c>
      <x:c r="B28" s="4"/>
      <x:c r="C28" s="4"/>
      <x:c r="D28" s="4"/>
      <x:c r="E28" s="5"/>
      <x:c r="F28" s="5"/>
      <x:c r="G28" s="5"/>
      <x:c r="H28" s="7" t="str">
        <x:f t="shared" si="1"/>
      </x:c>
      <x:c r="I28" s="6" t="str">
        <x:f t="shared" si="2"/>
      </x:c>
      <x:c r="J28" s="4"/>
      <x:c r="K28" s="4"/>
      <x:c r="L28" s="4"/>
      <x:c r="M28" s="9" t="str">
        <x:f t="shared" si="3"/>
      </x:c>
      <x:c r="N28" s="4"/>
      <x:c r="O28" s="4"/>
      <x:c r="P28" s="4"/>
      <x:c r="Q28" s="4"/>
      <x:c r="R28" s="4"/>
      <x:c r="S28" s="4"/>
      <x:c r="T28" s="5"/>
      <x:c r="U28" s="35" t="str">
        <x:f t="shared" si="4"/>
      </x:c>
    </x:row>
    <x:row r="29" ht="46.650001525878906" customHeight="1">
      <x:c r="A29" s="8" t="str">
        <x:f t="shared" si="0"/>
      </x:c>
      <x:c r="B29" s="4"/>
      <x:c r="C29" s="4"/>
      <x:c r="D29" s="4"/>
      <x:c r="E29" s="5"/>
      <x:c r="F29" s="5"/>
      <x:c r="G29" s="5"/>
      <x:c r="H29" s="7" t="str">
        <x:f t="shared" si="1"/>
      </x:c>
      <x:c r="I29" s="6" t="str">
        <x:f t="shared" si="2"/>
      </x:c>
      <x:c r="J29" s="4"/>
      <x:c r="K29" s="4"/>
      <x:c r="L29" s="4"/>
      <x:c r="M29" s="9" t="str">
        <x:f t="shared" si="3"/>
      </x:c>
      <x:c r="N29" s="4"/>
      <x:c r="O29" s="4"/>
      <x:c r="P29" s="4"/>
      <x:c r="Q29" s="4"/>
      <x:c r="R29" s="4"/>
      <x:c r="S29" s="4"/>
      <x:c r="T29" s="5"/>
      <x:c r="U29" s="35" t="str">
        <x:f t="shared" si="4"/>
      </x:c>
    </x:row>
    <x:row r="30" ht="46.650001525878906" customHeight="1">
      <x:c r="A30" s="8" t="str">
        <x:f t="shared" si="0"/>
      </x:c>
      <x:c r="B30" s="4"/>
      <x:c r="C30" s="4"/>
      <x:c r="D30" s="4"/>
      <x:c r="E30" s="5"/>
      <x:c r="F30" s="5"/>
      <x:c r="G30" s="5"/>
      <x:c r="H30" s="7" t="str">
        <x:f t="shared" si="1"/>
      </x:c>
      <x:c r="I30" s="6" t="str">
        <x:f t="shared" si="2"/>
      </x:c>
      <x:c r="J30" s="4"/>
      <x:c r="K30" s="4"/>
      <x:c r="L30" s="4"/>
      <x:c r="M30" s="9" t="str">
        <x:f t="shared" si="3"/>
      </x:c>
      <x:c r="N30" s="4"/>
      <x:c r="O30" s="4"/>
      <x:c r="P30" s="4"/>
      <x:c r="Q30" s="4"/>
      <x:c r="R30" s="4"/>
      <x:c r="S30" s="4"/>
      <x:c r="T30" s="5"/>
      <x:c r="U30" s="35" t="str">
        <x:f t="shared" si="4"/>
      </x:c>
    </x:row>
    <x:row r="31" ht="46.650001525878906" customHeight="1">
      <x:c r="A31" s="8" t="str">
        <x:f t="shared" si="0"/>
      </x:c>
      <x:c r="B31" s="4"/>
      <x:c r="C31" s="4"/>
      <x:c r="D31" s="4"/>
      <x:c r="E31" s="5"/>
      <x:c r="F31" s="5"/>
      <x:c r="G31" s="5"/>
      <x:c r="H31" s="7" t="str">
        <x:f t="shared" si="1"/>
      </x:c>
      <x:c r="I31" s="6" t="str">
        <x:f t="shared" si="2"/>
      </x:c>
      <x:c r="J31" s="4"/>
      <x:c r="K31" s="4"/>
      <x:c r="L31" s="4"/>
      <x:c r="M31" s="9" t="str">
        <x:f t="shared" si="3"/>
      </x:c>
      <x:c r="N31" s="4"/>
      <x:c r="O31" s="4"/>
      <x:c r="P31" s="4"/>
      <x:c r="Q31" s="4"/>
      <x:c r="R31" s="4"/>
      <x:c r="S31" s="4"/>
      <x:c r="T31" s="5"/>
      <x:c r="U31" s="35" t="str">
        <x:f t="shared" si="4"/>
      </x:c>
    </x:row>
    <x:row r="32" ht="46.650001525878906" customHeight="1">
      <x:c r="A32" s="8" t="str">
        <x:f t="shared" si="0"/>
      </x:c>
      <x:c r="B32" s="4"/>
      <x:c r="C32" s="4"/>
      <x:c r="D32" s="4"/>
      <x:c r="E32" s="5"/>
      <x:c r="F32" s="5"/>
      <x:c r="G32" s="5"/>
      <x:c r="H32" s="7" t="str">
        <x:f t="shared" si="1"/>
      </x:c>
      <x:c r="I32" s="6" t="str">
        <x:f t="shared" si="2"/>
      </x:c>
      <x:c r="J32" s="4"/>
      <x:c r="K32" s="4"/>
      <x:c r="L32" s="4"/>
      <x:c r="M32" s="9" t="str">
        <x:f t="shared" si="3"/>
      </x:c>
      <x:c r="N32" s="4"/>
      <x:c r="O32" s="4"/>
      <x:c r="P32" s="4"/>
      <x:c r="Q32" s="4"/>
      <x:c r="R32" s="4"/>
      <x:c r="S32" s="4"/>
      <x:c r="T32" s="5"/>
      <x:c r="U32" s="35" t="str">
        <x:f t="shared" si="4"/>
      </x:c>
    </x:row>
    <x:row r="33" ht="46.650001525878906" customHeight="1">
      <x:c r="A33" s="8" t="str">
        <x:f t="shared" si="0"/>
      </x:c>
      <x:c r="B33" s="4"/>
      <x:c r="C33" s="4"/>
      <x:c r="D33" s="4"/>
      <x:c r="E33" s="5"/>
      <x:c r="F33" s="5"/>
      <x:c r="G33" s="5"/>
      <x:c r="H33" s="7" t="str">
        <x:f t="shared" si="1"/>
      </x:c>
      <x:c r="I33" s="6" t="str">
        <x:f t="shared" si="2"/>
      </x:c>
      <x:c r="J33" s="4"/>
      <x:c r="K33" s="4"/>
      <x:c r="L33" s="4"/>
      <x:c r="M33" s="9" t="str">
        <x:f t="shared" si="3"/>
      </x:c>
      <x:c r="N33" s="4"/>
      <x:c r="O33" s="4"/>
      <x:c r="P33" s="4"/>
      <x:c r="Q33" s="4"/>
      <x:c r="R33" s="4"/>
      <x:c r="S33" s="4"/>
      <x:c r="T33" s="5"/>
      <x:c r="U33" s="35" t="str">
        <x:f t="shared" si="4"/>
      </x:c>
    </x:row>
    <x:row r="34" ht="46.650001525878906" customHeight="1">
      <x:c r="A34" s="8" t="str">
        <x:f t="shared" si="0"/>
      </x:c>
      <x:c r="B34" s="4"/>
      <x:c r="C34" s="4"/>
      <x:c r="D34" s="4"/>
      <x:c r="E34" s="5"/>
      <x:c r="F34" s="5"/>
      <x:c r="G34" s="5"/>
      <x:c r="H34" s="7" t="str">
        <x:f t="shared" si="1"/>
      </x:c>
      <x:c r="I34" s="6" t="str">
        <x:f t="shared" si="2"/>
      </x:c>
      <x:c r="J34" s="4"/>
      <x:c r="K34" s="4"/>
      <x:c r="L34" s="4"/>
      <x:c r="M34" s="9" t="str">
        <x:f t="shared" si="3"/>
      </x:c>
      <x:c r="N34" s="4"/>
      <x:c r="O34" s="4"/>
      <x:c r="P34" s="4"/>
      <x:c r="Q34" s="4"/>
      <x:c r="R34" s="4"/>
      <x:c r="S34" s="4"/>
      <x:c r="T34" s="5"/>
      <x:c r="U34" s="35" t="str">
        <x:f t="shared" si="4"/>
      </x:c>
    </x:row>
    <x:row r="35" ht="46.650001525878906" customHeight="1">
      <x:c r="A35" s="8" t="str">
        <x:f t="shared" si="0"/>
      </x:c>
      <x:c r="B35" s="4"/>
      <x:c r="C35" s="4"/>
      <x:c r="D35" s="4"/>
      <x:c r="E35" s="5"/>
      <x:c r="F35" s="5"/>
      <x:c r="G35" s="5"/>
      <x:c r="H35" s="7" t="str">
        <x:f t="shared" si="1"/>
      </x:c>
      <x:c r="I35" s="6" t="str">
        <x:f t="shared" si="2"/>
      </x:c>
      <x:c r="J35" s="4"/>
      <x:c r="K35" s="4"/>
      <x:c r="L35" s="4"/>
      <x:c r="M35" s="9" t="str">
        <x:f t="shared" si="3"/>
      </x:c>
      <x:c r="N35" s="4"/>
      <x:c r="O35" s="4"/>
      <x:c r="P35" s="4"/>
      <x:c r="Q35" s="4"/>
      <x:c r="R35" s="4"/>
      <x:c r="S35" s="4"/>
      <x:c r="T35" s="5"/>
      <x:c r="U35" s="35" t="str">
        <x:f t="shared" si="4"/>
      </x:c>
    </x:row>
    <x:row r="36" ht="46.650001525878906" customHeight="1">
      <x:c r="A36" s="8" t="str">
        <x:f t="shared" si="0"/>
      </x:c>
      <x:c r="B36" s="4"/>
      <x:c r="C36" s="4"/>
      <x:c r="D36" s="4"/>
      <x:c r="E36" s="5"/>
      <x:c r="F36" s="5"/>
      <x:c r="G36" s="5"/>
      <x:c r="H36" s="7" t="str">
        <x:f t="shared" si="1"/>
      </x:c>
      <x:c r="I36" s="6" t="str">
        <x:f t="shared" si="2"/>
      </x:c>
      <x:c r="J36" s="4"/>
      <x:c r="K36" s="4"/>
      <x:c r="L36" s="4"/>
      <x:c r="M36" s="9" t="str">
        <x:f t="shared" si="3"/>
      </x:c>
      <x:c r="N36" s="4"/>
      <x:c r="O36" s="4"/>
      <x:c r="P36" s="4"/>
      <x:c r="Q36" s="4"/>
      <x:c r="R36" s="4"/>
      <x:c r="S36" s="4"/>
      <x:c r="T36" s="5"/>
      <x:c r="U36" s="35" t="str">
        <x:f t="shared" si="4"/>
      </x:c>
    </x:row>
    <x:row r="37" ht="46.650001525878906" customHeight="1">
      <x:c r="A37" s="8" t="str">
        <x:f t="shared" si="0"/>
      </x:c>
      <x:c r="B37" s="4"/>
      <x:c r="C37" s="4"/>
      <x:c r="D37" s="4"/>
      <x:c r="E37" s="5"/>
      <x:c r="F37" s="5"/>
      <x:c r="G37" s="5"/>
      <x:c r="H37" s="7" t="str">
        <x:f t="shared" si="1"/>
      </x:c>
      <x:c r="I37" s="6" t="str">
        <x:f t="shared" si="2"/>
      </x:c>
      <x:c r="J37" s="4"/>
      <x:c r="K37" s="4"/>
      <x:c r="L37" s="4"/>
      <x:c r="M37" s="9" t="str">
        <x:f t="shared" si="3"/>
      </x:c>
      <x:c r="N37" s="4"/>
      <x:c r="O37" s="4"/>
      <x:c r="P37" s="4"/>
      <x:c r="Q37" s="4"/>
      <x:c r="R37" s="4"/>
      <x:c r="S37" s="4"/>
      <x:c r="T37" s="5"/>
      <x:c r="U37" s="35" t="str">
        <x:f t="shared" si="4"/>
      </x:c>
    </x:row>
    <x:row r="38" ht="46.650001525878906" customHeight="1">
      <x:c r="A38" s="8" t="str">
        <x:f t="shared" si="0"/>
      </x:c>
      <x:c r="B38" s="4"/>
      <x:c r="C38" s="4"/>
      <x:c r="D38" s="4"/>
      <x:c r="E38" s="5"/>
      <x:c r="F38" s="5"/>
      <x:c r="G38" s="5"/>
      <x:c r="H38" s="7" t="str">
        <x:f t="shared" si="1"/>
      </x:c>
      <x:c r="I38" s="6" t="str">
        <x:f t="shared" si="2"/>
      </x:c>
      <x:c r="J38" s="4"/>
      <x:c r="K38" s="4"/>
      <x:c r="L38" s="4"/>
      <x:c r="M38" s="9" t="str">
        <x:f t="shared" si="3"/>
      </x:c>
      <x:c r="N38" s="4"/>
      <x:c r="O38" s="4"/>
      <x:c r="P38" s="4"/>
      <x:c r="Q38" s="4"/>
      <x:c r="R38" s="4"/>
      <x:c r="S38" s="4"/>
      <x:c r="T38" s="5"/>
      <x:c r="U38" s="35" t="str">
        <x:f t="shared" si="4"/>
      </x:c>
    </x:row>
    <x:row r="39" ht="46.650001525878906" customHeight="1">
      <x:c r="A39" s="8" t="str">
        <x:f t="shared" si="0"/>
      </x:c>
      <x:c r="B39" s="4"/>
      <x:c r="C39" s="4"/>
      <x:c r="D39" s="4"/>
      <x:c r="E39" s="5"/>
      <x:c r="F39" s="5"/>
      <x:c r="G39" s="5"/>
      <x:c r="H39" s="7" t="str">
        <x:f t="shared" si="1"/>
      </x:c>
      <x:c r="I39" s="6" t="str">
        <x:f t="shared" si="2"/>
      </x:c>
      <x:c r="J39" s="4"/>
      <x:c r="K39" s="4"/>
      <x:c r="L39" s="4"/>
      <x:c r="M39" s="9" t="str">
        <x:f t="shared" si="3"/>
      </x:c>
      <x:c r="N39" s="4"/>
      <x:c r="O39" s="4"/>
      <x:c r="P39" s="4"/>
      <x:c r="Q39" s="4"/>
      <x:c r="R39" s="4"/>
      <x:c r="S39" s="4"/>
      <x:c r="T39" s="5"/>
      <x:c r="U39" s="35" t="str">
        <x:f t="shared" si="4"/>
      </x:c>
    </x:row>
    <x:row r="40" ht="46.650001525878906" customHeight="1">
      <x:c r="A40" s="8" t="str">
        <x:f t="shared" si="0"/>
      </x:c>
      <x:c r="B40" s="4"/>
      <x:c r="C40" s="4"/>
      <x:c r="D40" s="4"/>
      <x:c r="E40" s="5"/>
      <x:c r="F40" s="5"/>
      <x:c r="G40" s="5"/>
      <x:c r="H40" s="7" t="str">
        <x:f t="shared" si="1"/>
      </x:c>
      <x:c r="I40" s="6" t="str">
        <x:f t="shared" si="2"/>
      </x:c>
      <x:c r="J40" s="4"/>
      <x:c r="K40" s="4"/>
      <x:c r="L40" s="4"/>
      <x:c r="M40" s="9" t="str">
        <x:f t="shared" si="3"/>
      </x:c>
      <x:c r="N40" s="4"/>
      <x:c r="O40" s="4"/>
      <x:c r="P40" s="4"/>
      <x:c r="Q40" s="4"/>
      <x:c r="R40" s="4"/>
      <x:c r="S40" s="4"/>
      <x:c r="T40" s="5"/>
      <x:c r="U40" s="35" t="str">
        <x:f t="shared" si="4"/>
      </x:c>
    </x:row>
    <x:row r="41" ht="46.650001525878906" customHeight="1">
      <x:c r="A41" s="8" t="str">
        <x:f t="shared" si="0"/>
      </x:c>
      <x:c r="B41" s="4"/>
      <x:c r="C41" s="4"/>
      <x:c r="D41" s="4"/>
      <x:c r="E41" s="5"/>
      <x:c r="F41" s="5"/>
      <x:c r="G41" s="5"/>
      <x:c r="H41" s="7" t="str">
        <x:f t="shared" si="1"/>
      </x:c>
      <x:c r="I41" s="6" t="str">
        <x:f t="shared" si="2"/>
      </x:c>
      <x:c r="J41" s="4"/>
      <x:c r="K41" s="4"/>
      <x:c r="L41" s="4"/>
      <x:c r="M41" s="9" t="str">
        <x:f t="shared" si="3"/>
      </x:c>
      <x:c r="N41" s="4"/>
      <x:c r="O41" s="4"/>
      <x:c r="P41" s="4"/>
      <x:c r="Q41" s="4"/>
      <x:c r="R41" s="4"/>
      <x:c r="S41" s="4"/>
      <x:c r="T41" s="5"/>
      <x:c r="U41" s="35" t="str">
        <x:f t="shared" si="4"/>
      </x:c>
    </x:row>
    <x:row r="42" ht="46.650001525878906" customHeight="1">
      <x:c r="A42" s="8" t="str">
        <x:f t="shared" si="0"/>
      </x:c>
      <x:c r="B42" s="4"/>
      <x:c r="C42" s="4"/>
      <x:c r="D42" s="4"/>
      <x:c r="E42" s="5"/>
      <x:c r="F42" s="5"/>
      <x:c r="G42" s="5"/>
      <x:c r="H42" s="7" t="str">
        <x:f t="shared" si="1"/>
      </x:c>
      <x:c r="I42" s="6" t="str">
        <x:f t="shared" si="2"/>
      </x:c>
      <x:c r="J42" s="4"/>
      <x:c r="K42" s="4"/>
      <x:c r="L42" s="4"/>
      <x:c r="M42" s="9" t="str">
        <x:f t="shared" si="3"/>
      </x:c>
      <x:c r="N42" s="4"/>
      <x:c r="O42" s="4"/>
      <x:c r="P42" s="4"/>
      <x:c r="Q42" s="4"/>
      <x:c r="R42" s="4"/>
      <x:c r="S42" s="4"/>
      <x:c r="T42" s="5"/>
      <x:c r="U42" s="35" t="str">
        <x:f t="shared" si="4"/>
      </x:c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12 L13:T13 A13:J13 A14:T42">
    <x:cfRule type="expression" dxfId="63" priority="6">
      <x:formula>AND($C9&lt;&gt;"",$M9="")</x:formula>
    </x:cfRule>
  </x:conditionalFormatting>
  <x:conditionalFormatting sqref="A9:T12 L13:T13 A13:J13 A14:T500">
    <x:cfRule type="expression" dxfId="62" priority="7">
      <x:formula>$B9="Merchant"</x:formula>
    </x:cfRule>
    <x:cfRule type="expression" dxfId="61" priority="8">
      <x:formula>$B9="Remittance"</x:formula>
    </x:cfRule>
    <x:cfRule type="expression" dxfId="60" priority="15">
      <x:formula>AND($C9&lt;&gt;"",$M9="")</x:formula>
    </x:cfRule>
  </x:conditionalFormatting>
  <x:conditionalFormatting sqref="B9:B500">
    <x:cfRule type="expression" dxfId="59" priority="9">
      <x:formula>B9="Remittance"</x:formula>
    </x:cfRule>
  </x:conditionalFormatting>
  <x:conditionalFormatting sqref="I9:I42">
    <x:cfRule type="expression" dxfId="58" priority="1">
      <x:formula>I9="Active"</x:formula>
    </x:cfRule>
    <x:cfRule type="expression" dxfId="57" priority="2">
      <x:formula>I9="End Date Not Stated"</x:formula>
    </x:cfRule>
    <x:cfRule type="expression" dxfId="56" priority="3">
      <x:formula>I9="Expiring ≤7 Days"</x:formula>
    </x:cfRule>
    <x:cfRule type="expression" dxfId="55" priority="4">
      <x:formula>I9="Expiring 8–30 Days"</x:formula>
    </x:cfRule>
    <x:cfRule type="expression" dxfId="54" priority="5">
      <x:formula>I9="Expired"</x:formula>
    </x:cfRule>
  </x:conditionalFormatting>
  <x:conditionalFormatting sqref="I9:I500">
    <x:cfRule type="expression" dxfId="53" priority="10">
      <x:formula>I9="Active"</x:formula>
    </x:cfRule>
    <x:cfRule type="expression" dxfId="52" priority="11">
      <x:formula>I9="End Date Not Stated"</x:formula>
    </x:cfRule>
    <x:cfRule type="expression" dxfId="51" priority="12">
      <x:formula>I9="Expiring ≤7 Days"</x:formula>
    </x:cfRule>
    <x:cfRule type="expression" dxfId="50" priority="13">
      <x:formula>I9="Expiring 8–30 Days"</x:formula>
    </x:cfRule>
    <x:cfRule type="expression" dxfId="49" priority="14">
      <x:formula>I9="Expired"</x:formula>
    </x:cfRule>
  </x:conditionalFormatting>
  <x:conditionalFormatting sqref="U9:U42">
    <x:cfRule type="expression" dxfId="48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10448c70f14d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</x:cols>
  <x:sheetData>
    <x:row r="1" ht="22.649999618530273" customHeight="1">
      <x:c r="A1" s="52" t="s">
        <x:v>196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3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str">
        <x:v>Merchant Offers (Count Only): 0</x:v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COUNTIFS('tiqmo'!$C$9:$C$500,"&lt;&gt;",'tiqmo'!$M$9:$M$500,"&lt;&gt;")</x:f>
        <x:v>6</x:v>
      </x:c>
      <x:c r="B5" s="53"/>
      <x:c r="C5" s="53"/>
      <x:c r="D5" s="53" t="n">
        <x:f>COUNTIFS('tiqmo'!$C$9:$C$500,"&lt;&gt;",'tiqmo'!$I$9:$I$500,"End Date Not Stated")</x:f>
        <x:v>2</x:v>
      </x:c>
      <x:c r="E5" s="53" t="n">
        <x:f>COUNTIFS('tiqmo'!$C$9:$C$500,"&lt;&gt;",'tiqmo'!$I$9:$I$500,"End Date Not Stated")</x:f>
        <x:v>2</x:v>
      </x:c>
      <x:c r="F5" s="53"/>
      <x:c r="G5" s="53" t="n">
        <x:f>COUNTIFS('tiqmo'!$C$9:$C$500,"&lt;&gt;",'tiqmo'!$B$9:$B$500,"Remittance")</x:f>
        <x:v>2</x:v>
      </x:c>
      <x:c r="H5" s="53"/>
      <x:c r="I5" s="54" t="n">
        <x:f>COUNTIFS('tiqmo'!$C$9:$C$500,"&lt;&gt;",'tiqmo'!$B$9:$B$500,"Remittance")</x:f>
        <x:v>2</x:v>
      </x:c>
      <x:c r="J5" s="54" t="n">
        <x:f>COUNTIFS('tiqmo'!$C$9:$C$500,"&lt;&gt;",'tiqmo'!$I$9:$I$500,"Expiring ≤7 Days")+COUNTIFS('tiqmo'!$C$9:$C$500,"&lt;&gt;",'tiqmo'!$I$9:$I$500,"Expiring 8–30 Days")</x:f>
        <x:v>0</x:v>
      </x:c>
      <x:c r="K5" s="54"/>
      <x:c r="L5" s="54"/>
      <x:c r="M5" s="55" t="n">
        <x:v>0</x:v>
      </x:c>
      <x:c r="N5" s="55"/>
      <x:c r="O5" s="55"/>
      <x:c r="P5" s="55"/>
      <x:c r="Q5" s="53" t="n">
        <x:f>COUNTIFS('tiqmo'!$C$9:$C$500,"&lt;&gt;",'tiqmo'!$I$9:$I$500,"Expiring ≤7 Days")+COUNTIFS('tiqmo'!$C$9:$C$500,"&lt;&gt;",'tiqmo'!$I$9:$I$500,"Expiring 8–30 Days")</x:f>
        <x:v>0</x:v>
      </x:c>
      <x:c r="R5" s="53"/>
      <x:c r="S5" s="53"/>
      <x:c r="T5" s="53"/>
    </x:row>
    <x:row r="8" ht="30.649999618530273" customHeight="1">
      <x:c r="A8" s="3" t="s">
        <x:v>4</x:v>
      </x:c>
      <x:c r="B8" s="3" t="s">
        <x:v>5</x:v>
      </x:c>
      <x:c r="C8" s="3" t="s">
        <x:v>6</x:v>
      </x:c>
      <x:c r="D8" s="3" t="s">
        <x:v>7</x:v>
      </x:c>
      <x:c r="E8" s="3" t="s">
        <x:v>8</x:v>
      </x:c>
      <x:c r="F8" s="3" t="s">
        <x:v>9</x:v>
      </x:c>
      <x:c r="G8" s="3" t="s">
        <x:v>10</x:v>
      </x:c>
      <x:c r="H8" s="3" t="s">
        <x:v>11</x:v>
      </x:c>
      <x:c r="I8" s="3" t="s">
        <x:v>12</x:v>
      </x:c>
      <x:c r="J8" s="3" t="s">
        <x:v>13</x:v>
      </x:c>
      <x:c r="K8" s="3" t="s">
        <x:v>14</x:v>
      </x:c>
      <x:c r="L8" s="3" t="s">
        <x:v>15</x:v>
      </x:c>
      <x:c r="M8" s="3" t="s">
        <x:v>16</x:v>
      </x:c>
      <x:c r="N8" s="3" t="s">
        <x:v>17</x:v>
      </x:c>
      <x:c r="O8" s="3" t="s">
        <x:v>18</x:v>
      </x:c>
      <x:c r="P8" s="3" t="s">
        <x:v>19</x:v>
      </x:c>
      <x:c r="Q8" s="3" t="s">
        <x:v>20</x:v>
      </x:c>
      <x:c r="R8" s="3" t="s">
        <x:v>21</x:v>
      </x:c>
      <x:c r="S8" s="3" t="s">
        <x:v>22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s">
        <x:v>197</x:v>
      </x:c>
      <x:c r="C9" s="4" t="s">
        <x:v>198</x:v>
      </x:c>
      <x:c r="D9" s="4" t="s">
        <x:v>199</x:v>
      </x:c>
      <x:c r="E9" s="5">
        <x:v>46227</x:v>
      </x:c>
      <x:c r="F9" s="5"/>
      <x:c r="G9" s="5"/>
      <x:c r="H9" s="7" t="str">
        <x:f t="shared" ref="H9:H42" si="1">IF(OR(C9="",G9=""),"",G9-TODAY())</x:f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End Date Not Stated</x:v>
      </x:c>
      <x:c r="J9" s="4" t="s">
        <x:v>200</x:v>
      </x:c>
      <x:c r="K9" s="4" t="s">
        <x:v>201</x:v>
      </x:c>
      <x:c r="L9" s="4" t="s">
        <x:v>202</x:v>
      </x:c>
      <x:c r="M9" s="9" t="str">
        <x:f t="shared" ref="M9:M42" si="3">IF(C9="","",IF(N9&lt;&gt;"",N9,IF(O9&lt;&gt;"",O9,IF(P9&lt;&gt;"",P9,IF(Q9&lt;&gt;"",Q9,IF(R9&lt;&gt;"",R9,""))))))</x:f>
        <x:v>https://www.instagram.com/tiqmoksa/p/DbLZ9Yfj6dy/</x:v>
      </x:c>
      <x:c r="N9" s="4"/>
      <x:c r="O9" s="4" t="s">
        <x:v>203</x:v>
      </x:c>
      <x:c r="P9" s="63" t="s">
        <x:v>204</x:v>
      </x:c>
      <x:c r="Q9" s="63" t="s">
        <x:v>205</x:v>
      </x:c>
      <x:c r="R9" s="4"/>
      <x:c r="S9" s="4" t="s">
        <x:v>130</x:v>
      </x:c>
      <x:c r="T9" s="5" t="n">
        <x:v>46240</x:v>
      </x:c>
      <x:c r="U9" s="35" t="str">
        <x:f t="shared" ref="U9:U42" si="4">IF(C9="","",IF(COUNTA(O9:R9)=0,"No direct social post verified",IF(O9&lt;&gt;"","Instagram","")&amp;IF(AND(O9&lt;&gt;"",OR(P9&lt;&gt;"",Q9&lt;&gt;"",R9&lt;&gt;"")),", ","")&amp;IF(P9&lt;&gt;"","X","")&amp;IF(AND(P9&lt;&gt;"",OR(Q9&lt;&gt;"",R9&lt;&gt;"")),", ","")&amp;IF(Q9&lt;&gt;"","Facebook","")&amp;IF(AND(Q9&lt;&gt;"",R9&lt;&gt;""),", ","")&amp;IF(R9&lt;&gt;"","TikTok","")))</x:f>
        <x:v>Instagram, X, Facebook</x:v>
      </x:c>
    </x:row>
    <x:row r="10" ht="46.650001525878906" customHeight="1">
      <x:c r="A10" s="8" t="n">
        <x:f t="shared" si="0">IF(C10="","",ROW()-8)</x:f>
        <x:v>2</x:v>
      </x:c>
      <x:c r="B10" s="4" t="s">
        <x:v>55</x:v>
      </x:c>
      <x:c r="C10" s="4" t="s">
        <x:v>206</x:v>
      </x:c>
      <x:c r="D10" s="4" t="s">
        <x:v>207</x:v>
      </x:c>
      <x:c r="E10" s="5">
        <x:v>46226</x:v>
      </x:c>
      <x:c r="F10" s="5">
        <x:v>46204</x:v>
      </x:c>
      <x:c r="G10" s="5">
        <x:v>46234</x:v>
      </x:c>
      <x:c r="H10" s="7" t="n">
        <x:f t="shared" si="1">IF(OR(C10="",G10=""),"",G10-TODAY())</x:f>
        <x:v>-26</x:v>
      </x:c>
      <x:c r="I10" s="6" t="str">
        <x:f t="shared" si="2">IF(C10="","",IF(G10="","End Date Not Stated",IF(G10&lt;TODAY(),"Expired",IF(G10&lt;=TODAY()+7,"Expiring ≤7 Days",IF(G10&lt;=TODAY()+30,"Expiring 8–30 Days","Active")))))</x:f>
        <x:v>Expired</x:v>
      </x:c>
      <x:c r="J10" s="4" t="s">
        <x:v>208</x:v>
      </x:c>
      <x:c r="K10" s="4" t="s">
        <x:v>209</x:v>
      </x:c>
      <x:c r="L10" s="4" t="s">
        <x:v>210</x:v>
      </x:c>
      <x:c r="M10" s="9" t="str">
        <x:f t="shared" si="3">IF(C10="","",IF(N10&lt;&gt;"",N10,IF(O10&lt;&gt;"",O10,IF(P10&lt;&gt;"",P10,IF(Q10&lt;&gt;"",Q10,IF(R10&lt;&gt;"",R10,""))))))</x:f>
        <x:v>https://www.instagram.com/tiqmoksa/p/DbJJsK0IEPD/</x:v>
      </x:c>
      <x:c r="N10" s="4"/>
      <x:c r="O10" s="4" t="s">
        <x:v>211</x:v>
      </x:c>
      <x:c r="P10" s="4"/>
      <x:c r="Q10" s="4"/>
      <x:c r="R10" s="4"/>
      <x:c r="S10" s="4" t="str">
        <x:v>Offer was valid from 1 July through 31 July 2026 and is now expired.</x:v>
      </x:c>
      <x:c r="T10" s="5" t="n">
        <x:v>46240</x:v>
      </x:c>
      <x:c r="U10" s="35" t="str">
        <x:f t="shared" si="4">IF(C10="","",IF(COUNTA(O10:R10)=0,"No direct social post verified",IF(O10&lt;&gt;"","Instagram","")&amp;IF(AND(O10&lt;&gt;"",OR(P10&lt;&gt;"",Q10&lt;&gt;"",R10&lt;&gt;"")),", ","")&amp;IF(P10&lt;&gt;"","X","")&amp;IF(AND(P10&lt;&gt;"",OR(Q10&lt;&gt;"",R10&lt;&gt;"")),", ","")&amp;IF(Q10&lt;&gt;"","Facebook","")&amp;IF(AND(Q10&lt;&gt;"",R10&lt;&gt;""),", ","")&amp;IF(R10&lt;&gt;"","TikTok","")))</x:f>
        <x:v>Instagram</x:v>
      </x:c>
    </x:row>
    <x:row r="11" ht="46.650001525878906" customHeight="1">
      <x:c r="A11" s="8" t="n">
        <x:f t="shared" si="0">IF(C11="","",ROW()-8)</x:f>
        <x:v>3</x:v>
      </x:c>
      <x:c r="B11" s="4" t="s">
        <x:v>141</x:v>
      </x:c>
      <x:c r="C11" s="4" t="s">
        <x:v>212</x:v>
      </x:c>
      <x:c r="D11" s="4" t="s">
        <x:v>213</x:v>
      </x:c>
      <x:c r="E11" s="5"/>
      <x:c r="F11" s="5"/>
      <x:c r="G11" s="5" t="n">
        <x:v>46173</x:v>
      </x:c>
      <x:c r="H11" s="7" t="n">
        <x:f t="shared" si="1">IF(OR(C11="",G11=""),"",G11-TODAY())</x:f>
        <x:v>-87</x:v>
      </x:c>
      <x:c r="I11" s="6" t="str">
        <x:f t="shared" si="2">IF(C11="","",IF(G11="","End Date Not Stated",IF(G11&lt;TODAY(),"Expired",IF(G11&lt;=TODAY()+7,"Expiring ≤7 Days",IF(G11&lt;=TODAY()+30,"Expiring 8–30 Days","Active")))))</x:f>
        <x:v>Expired</x:v>
      </x:c>
      <x:c r="J11" s="4" t="s">
        <x:v>144</x:v>
      </x:c>
      <x:c r="K11" s="4" t="s">
        <x:v>214</x:v>
      </x:c>
      <x:c r="L11" s="4" t="s">
        <x:v>215</x:v>
      </x:c>
      <x:c r="M11" s="9" t="str">
        <x:f t="shared" si="3">IF(C11="","",IF(N11&lt;&gt;"",N11,IF(O11&lt;&gt;"",O11,IF(P11&lt;&gt;"",P11,IF(Q11&lt;&gt;"",Q11,IF(R11&lt;&gt;"",R11,""))))))</x:f>
        <x:v>https://www.instagram.com/p/DXR2gtKkiRW/</x:v>
      </x:c>
      <x:c r="N11" s="4"/>
      <x:c r="O11" s="4" t="s">
        <x:v>216</x:v>
      </x:c>
      <x:c r="P11" s="63" t="s">
        <x:v>217</x:v>
      </x:c>
      <x:c r="Q11" s="4" t="s">
        <x:v>218</x:v>
      </x:c>
      <x:c r="R11" s="4"/>
      <x:c r="S11" s="4" t="str">
        <x:v>The winner-announcement post states that the May edition remained available until 31 May 2026; the campaign is expired.</x:v>
      </x:c>
      <x:c r="T11" s="5" t="n">
        <x:v>46240</x:v>
      </x:c>
      <x:c r="U11" s="35" t="str">
        <x:f t="shared" si="4">IF(C11="","",IF(COUNTA(O11:R11)=0,"No direct social post verified",IF(O11&lt;&gt;"","Instagram","")&amp;IF(AND(O11&lt;&gt;"",OR(P11&lt;&gt;"",Q11&lt;&gt;"",R11&lt;&gt;"")),", ","")&amp;IF(P11&lt;&gt;"","X","")&amp;IF(AND(P11&lt;&gt;"",OR(Q11&lt;&gt;"",R11&lt;&gt;"")),", ","")&amp;IF(Q11&lt;&gt;"","Facebook","")&amp;IF(AND(Q11&lt;&gt;"",R11&lt;&gt;""),", ","")&amp;IF(R11&lt;&gt;"","TikTok","")))</x:f>
        <x:v>Instagram, X, Facebook</x:v>
      </x:c>
    </x:row>
    <x:row r="12" ht="46.650001525878906" customHeight="1">
      <x:c r="A12" s="8" t="n">
        <x:f t="shared" si="0">IF(C12="","",ROW()-8)</x:f>
        <x:v>4</x:v>
      </x:c>
      <x:c r="B12" s="4" t="s">
        <x:v>141</x:v>
      </x:c>
      <x:c r="C12" s="4" t="s">
        <x:v>219</x:v>
      </x:c>
      <x:c r="D12" s="4" t="s">
        <x:v>220</x:v>
      </x:c>
      <x:c r="E12" s="5"/>
      <x:c r="F12" s="5"/>
      <x:c r="G12" s="5"/>
      <x:c r="H12" s="7" t="str">
        <x:f t="shared" si="1">IF(OR(C12="",G12=""),"",G12-TODAY())</x:f>
      </x:c>
      <x:c r="I12" s="6" t="str">
        <x:f t="shared" si="2">IF(C12="","",IF(G12="","End Date Not Stated",IF(G12&lt;TODAY(),"Expired",IF(G12&lt;=TODAY()+7,"Expiring ≤7 Days",IF(G12&lt;=TODAY()+30,"Expiring 8–30 Days","Active")))))</x:f>
        <x:v>End Date Not Stated</x:v>
      </x:c>
      <x:c r="J12" s="4" t="s">
        <x:v>144</x:v>
      </x:c>
      <x:c r="K12" s="4" t="s">
        <x:v>221</x:v>
      </x:c>
      <x:c r="L12" s="4" t="s">
        <x:v>222</x:v>
      </x:c>
      <x:c r="M12" s="9" t="str">
        <x:f t="shared" si="3">IF(C12="","",IF(N12&lt;&gt;"",N12,IF(O12&lt;&gt;"",O12,IF(P12&lt;&gt;"",P12,IF(Q12&lt;&gt;"",Q12,IF(R12&lt;&gt;"",R12,""))))))</x:f>
        <x:v>https://www.instagram.com/p/DbBUcjiIHS1/</x:v>
      </x:c>
      <x:c r="N12" s="4"/>
      <x:c r="O12" s="4" t="s">
        <x:v>223</x:v>
      </x:c>
      <x:c r="P12" s="63" t="s">
        <x:v>224</x:v>
      </x:c>
      <x:c r="Q12" s="63" t="s">
        <x:v>225</x:v>
      </x:c>
      <x:c r="R12" s="4"/>
      <x:c r="S12" s="4" t="s">
        <x:v>226</x:v>
      </x:c>
      <x:c r="T12" s="5" t="n">
        <x:v>46240</x:v>
      </x:c>
      <x:c r="U12" s="35" t="str">
        <x:f t="shared" si="4">IF(C12="","",IF(COUNTA(O12:R12)=0,"No direct social post verified",IF(O12&lt;&gt;"","Instagram","")&amp;IF(AND(O12&lt;&gt;"",OR(P12&lt;&gt;"",Q12&lt;&gt;"",R12&lt;&gt;"")),", ","")&amp;IF(P12&lt;&gt;"","X","")&amp;IF(AND(P12&lt;&gt;"",OR(Q12&lt;&gt;"",R12&lt;&gt;"")),", ","")&amp;IF(Q12&lt;&gt;"","Facebook","")&amp;IF(AND(Q12&lt;&gt;"",R12&lt;&gt;""),", ","")&amp;IF(R12&lt;&gt;"","TikTok","")))</x:f>
        <x:v>Instagram, X, Facebook</x:v>
      </x:c>
    </x:row>
    <x:row r="13" ht="46.650001525878906" customHeight="1">
      <x:c r="A13" s="8" t="n">
        <x:f t="shared" si="0">IF(C13="","",ROW()-8)</x:f>
        <x:v>5</x:v>
      </x:c>
      <x:c r="B13" s="4" t="s">
        <x:v>23</x:v>
      </x:c>
      <x:c r="C13" s="4" t="str">
        <x:v>Zero International Card Transaction Fees</x:v>
      </x:c>
      <x:c r="D13" s="4" t="str">
        <x:v>0% fees on eligible international POS purchases and international ATM withdrawals outside Saudi Arabia.</x:v>
      </x:c>
      <x:c r="E13" s="5"/>
      <x:c r="F13" s="5" t="n">
        <x:v>46143</x:v>
      </x:c>
      <x:c r="G13" s="5" t="n">
        <x:v>46387</x:v>
      </x:c>
      <x:c r="H13" s="7" t="n">
        <x:f t="shared" si="1">IF(OR(C13="",G13=""),"",G13-TODAY())</x:f>
        <x:v>127</x:v>
      </x:c>
      <x:c r="I13" s="6" t="str">
        <x:f t="shared" si="2">IF(C13="","",IF(G13="","End Date Not Stated",IF(G13&lt;TODAY(),"Expired",IF(G13&lt;=TODAY()+7,"Expiring ≤7 Days",IF(G13&lt;=TODAY()+30,"Expiring 8–30 Days","Active")))))</x:f>
        <x:v>Active</x:v>
      </x:c>
      <x:c r="J13" s="4" t="str">
        <x:v>International POS purchases and international ATM withdrawals</x:v>
      </x:c>
      <x:c r="K13" s="4" t="str">
        <x:v>0% international transaction fees and zero fees on overseas ATM withdrawals</x:v>
      </x:c>
      <x:c r="L13" s="4" t="str">
        <x:v>tiqmo customers using eligible cards while travelling outside Saudi Arabia</x:v>
      </x:c>
      <x:c r="M13" s="9" t="str">
        <x:f t="shared" si="3">IF(C13="","",IF(N13&lt;&gt;"",N13,IF(O13&lt;&gt;"",O13,IF(P13&lt;&gt;"",P13,IF(Q13&lt;&gt;"",Q13,IF(R13&lt;&gt;"",R13,""))))))</x:f>
        <x:v>https://www.tiqmo.com/ar/offers</x:v>
      </x:c>
      <x:c r="N13" s="4" t="str">
        <x:v>https://www.tiqmo.com/ar/offers</x:v>
      </x:c>
      <x:c r="O13" s="63" t="s">
        <x:v>227</x:v>
      </x:c>
      <x:c r="P13" s="63" t="s">
        <x:v>228</x:v>
      </x:c>
      <x:c r="Q13" s="63" t="s">
        <x:v>229</x:v>
      </x:c>
      <x:c r="R13" s="63" t="s">
        <x:v>230</x:v>
      </x:c>
      <x:c r="S13" s="4" t="str">
        <x:v>Offer is valid from 1 May to 31 December 2026. It applies outside Saudi Arabia and excludes international online stores, websites and mobile applications. tiqmo standard terms apply.</x:v>
      </x:c>
      <x:c r="T13" s="5" t="n">
        <x:v>46240</x:v>
      </x:c>
      <x:c r="U13" s="35" t="str">
        <x:f t="shared" si="4">IF(C13="","",IF(COUNTA(O13:R13)=0,"No direct social post verified",IF(O13&lt;&gt;"","Instagram","")&amp;IF(AND(O13&lt;&gt;"",OR(P13&lt;&gt;"",Q13&lt;&gt;"",R13&lt;&gt;"")),", ","")&amp;IF(P13&lt;&gt;"","X","")&amp;IF(AND(P13&lt;&gt;"",OR(Q13&lt;&gt;"",R13&lt;&gt;"")),", ","")&amp;IF(Q13&lt;&gt;"","Facebook","")&amp;IF(AND(Q13&lt;&gt;"",R13&lt;&gt;""),", ","")&amp;IF(R13&lt;&gt;"","TikTok","")))</x:f>
        <x:v>Instagram, X, Facebook, TikTok</x:v>
      </x:c>
    </x:row>
    <x:row r="14" ht="46.650001525878906" customHeight="1">
      <x:c r="A14" s="8" t="n">
        <x:f t="shared" si="0">IF(C14="","",ROW()-8)</x:f>
        <x:v>6</x:v>
      </x:c>
      <x:c r="B14" s="4" t="str">
        <x:v>Card</x:v>
      </x:c>
      <x:c r="C14" s="4" t="str">
        <x:v>SAR 250,000 Spend &amp; Win Campaign</x:v>
      </x:c>
      <x:c r="D14" s="4" t="str">
        <x:v>Card spending generated chances to win SAR 250,000, with enhanced chances on international purchases.</x:v>
      </x:c>
      <x:c r="E14" s="5"/>
      <x:c r="F14" s="5"/>
      <x:c r="G14" s="5" t="n">
        <x:v>46234</x:v>
      </x:c>
      <x:c r="H14" s="7" t="n">
        <x:f t="shared" si="1">IF(OR(C14="",G14=""),"",G14-TODAY())</x:f>
        <x:v>-26</x:v>
      </x:c>
      <x:c r="I14" s="6" t="str">
        <x:f t="shared" si="2">IF(C14="","",IF(G14="","End Date Not Stated",IF(G14&lt;TODAY(),"Expired",IF(G14&lt;=TODAY()+7,"Expiring ≤7 Days",IF(G14&lt;=TODAY()+30,"Expiring 8–30 Days","Active")))))</x:f>
        <x:v>Expired</x:v>
      </x:c>
      <x:c r="J14" s="4" t="str">
        <x:v>Card purchases</x:v>
      </x:c>
      <x:c r="K14" s="4" t="str">
        <x:v>Each SAR spent generated multiple chances; international purchases generated up to eight chances per SAR</x:v>
      </x:c>
      <x:c r="L14" s="4" t="str">
        <x:v>tiqmo card customers</x:v>
      </x:c>
      <x:c r="M14" s="9" t="str">
        <x:f t="shared" si="3">IF(C14="","",IF(N14&lt;&gt;"",N14,IF(O14&lt;&gt;"",O14,IF(P14&lt;&gt;"",P14,IF(Q14&lt;&gt;"",Q14,IF(R14&lt;&gt;"",R14,""))))))</x:f>
        <x:v>https://www.tiqmo.com/ar/offers</x:v>
      </x:c>
      <x:c r="N14" s="4" t="str">
        <x:v>https://www.tiqmo.com/ar/offers</x:v>
      </x:c>
      <x:c r="O14" s="4"/>
      <x:c r="P14" s="4" t="str">
        <x:v>https://x.com/tiqmo/status/2082496811798085847</x:v>
      </x:c>
      <x:c r="Q14" s="4" t="str">
        <x:v>https://www.facebook.com/Tiqmoksa/posts/sar-250000-cashbacksimple-every-riyal-you-spend-a-chance-to-win-sar-250000-every/1001313055996026/</x:v>
      </x:c>
      <x:c r="R14" s="4"/>
      <x:c r="S14" s="4" t="str">
        <x:v>An official X post dated 29 July stated that two days remained, so the campaign end date is recorded as 31 July 2026. The campaign is retained as recent expired context.</x:v>
      </x:c>
      <x:c r="T14" s="5" t="n">
        <x:v>46240</x:v>
      </x:c>
      <x:c r="U14" s="35" t="str">
        <x:f t="shared" si="4">IF(C14="","",IF(COUNTA(O14:R14)=0,"No direct social post verified",IF(O14&lt;&gt;"","Instagram","")&amp;IF(AND(O14&lt;&gt;"",OR(P14&lt;&gt;"",Q14&lt;&gt;"",R14&lt;&gt;"")),", ","")&amp;IF(P14&lt;&gt;"","X","")&amp;IF(AND(P14&lt;&gt;"",OR(Q14&lt;&gt;"",R14&lt;&gt;"")),", ","")&amp;IF(Q14&lt;&gt;"","Facebook","")&amp;IF(AND(Q14&lt;&gt;"",R14&lt;&gt;""),", ","")&amp;IF(R14&lt;&gt;"","TikTok","")))</x:f>
        <x:v>X, Facebook</x:v>
      </x:c>
    </x:row>
    <x:row r="15" ht="46.650001525878906" customHeight="1">
      <x:c r="A15" s="8" t="str">
        <x:f t="shared" si="0"/>
      </x:c>
      <x:c r="B15" s="4"/>
      <x:c r="C15" s="4"/>
      <x:c r="D15" s="4"/>
      <x:c r="E15" s="5"/>
      <x:c r="F15" s="5"/>
      <x:c r="G15" s="5"/>
      <x:c r="H15" s="7" t="str">
        <x:f t="shared" si="1"/>
      </x:c>
      <x:c r="I15" s="6" t="str">
        <x:f t="shared" si="2"/>
      </x:c>
      <x:c r="J15" s="4"/>
      <x:c r="K15" s="4"/>
      <x:c r="L15" s="4"/>
      <x:c r="M15" s="9" t="str">
        <x:f t="shared" si="3"/>
      </x:c>
      <x:c r="N15" s="4"/>
      <x:c r="O15" s="4"/>
      <x:c r="P15" s="4"/>
      <x:c r="Q15" s="4"/>
      <x:c r="R15" s="4"/>
      <x:c r="S15" s="4"/>
      <x:c r="T15" s="5"/>
      <x:c r="U15" s="35" t="str">
        <x:f t="shared" si="4"/>
      </x:c>
    </x:row>
    <x:row r="16" ht="46.650001525878906" customHeight="1">
      <x:c r="A16" s="8" t="str">
        <x:f t="shared" si="0"/>
      </x:c>
      <x:c r="B16" s="4"/>
      <x:c r="C16" s="4"/>
      <x:c r="D16" s="4"/>
      <x:c r="E16" s="5"/>
      <x:c r="F16" s="5"/>
      <x:c r="G16" s="5"/>
      <x:c r="H16" s="7" t="str">
        <x:f t="shared" si="1"/>
      </x:c>
      <x:c r="I16" s="6" t="str">
        <x:f t="shared" si="2"/>
      </x:c>
      <x:c r="J16" s="4"/>
      <x:c r="K16" s="4"/>
      <x:c r="L16" s="4"/>
      <x:c r="M16" s="9" t="str">
        <x:f t="shared" si="3"/>
      </x:c>
      <x:c r="N16" s="4"/>
      <x:c r="O16" s="4"/>
      <x:c r="P16" s="4"/>
      <x:c r="Q16" s="4"/>
      <x:c r="R16" s="4"/>
      <x:c r="S16" s="4"/>
      <x:c r="T16" s="5"/>
      <x:c r="U16" s="35" t="str">
        <x:f t="shared" si="4"/>
      </x:c>
    </x:row>
    <x:row r="17" ht="46.650001525878906" customHeight="1">
      <x:c r="A17" s="8" t="str">
        <x:f t="shared" si="0"/>
      </x:c>
      <x:c r="B17" s="4"/>
      <x:c r="C17" s="4"/>
      <x:c r="D17" s="4"/>
      <x:c r="E17" s="5"/>
      <x:c r="F17" s="5"/>
      <x:c r="G17" s="5"/>
      <x:c r="H17" s="7" t="str">
        <x:f t="shared" si="1"/>
      </x:c>
      <x:c r="I17" s="6" t="str">
        <x:f t="shared" si="2"/>
      </x:c>
      <x:c r="J17" s="4"/>
      <x:c r="K17" s="4"/>
      <x:c r="L17" s="4"/>
      <x:c r="M17" s="9" t="str">
        <x:f t="shared" si="3"/>
      </x:c>
      <x:c r="N17" s="4"/>
      <x:c r="O17" s="4"/>
      <x:c r="P17" s="4"/>
      <x:c r="Q17" s="4"/>
      <x:c r="R17" s="4"/>
      <x:c r="S17" s="4"/>
      <x:c r="T17" s="5"/>
      <x:c r="U17" s="35" t="str">
        <x:f t="shared" si="4"/>
      </x:c>
    </x:row>
    <x:row r="18" ht="46.650001525878906" customHeight="1">
      <x:c r="A18" s="8" t="str">
        <x:f t="shared" si="0"/>
      </x:c>
      <x:c r="B18" s="4"/>
      <x:c r="C18" s="4"/>
      <x:c r="D18" s="4"/>
      <x:c r="E18" s="5"/>
      <x:c r="F18" s="5"/>
      <x:c r="G18" s="5"/>
      <x:c r="H18" s="7" t="str">
        <x:f t="shared" si="1"/>
      </x:c>
      <x:c r="I18" s="6" t="str">
        <x:f t="shared" si="2"/>
      </x:c>
      <x:c r="J18" s="4"/>
      <x:c r="K18" s="4"/>
      <x:c r="L18" s="4"/>
      <x:c r="M18" s="9" t="str">
        <x:f t="shared" si="3"/>
      </x:c>
      <x:c r="N18" s="4"/>
      <x:c r="O18" s="4"/>
      <x:c r="P18" s="4"/>
      <x:c r="Q18" s="4"/>
      <x:c r="R18" s="4"/>
      <x:c r="S18" s="4"/>
      <x:c r="T18" s="5"/>
      <x:c r="U18" s="35" t="str">
        <x:f t="shared" si="4"/>
      </x:c>
    </x:row>
    <x:row r="19" ht="46.650001525878906" customHeight="1">
      <x:c r="A19" s="8" t="str">
        <x:f t="shared" si="0"/>
      </x:c>
      <x:c r="B19" s="4"/>
      <x:c r="C19" s="4"/>
      <x:c r="D19" s="4"/>
      <x:c r="E19" s="5"/>
      <x:c r="F19" s="5"/>
      <x:c r="G19" s="5"/>
      <x:c r="H19" s="7" t="str">
        <x:f t="shared" si="1"/>
      </x:c>
      <x:c r="I19" s="6" t="str">
        <x:f t="shared" si="2"/>
      </x:c>
      <x:c r="J19" s="4"/>
      <x:c r="K19" s="4"/>
      <x:c r="L19" s="4"/>
      <x:c r="M19" s="9" t="str">
        <x:f t="shared" si="3"/>
      </x:c>
      <x:c r="N19" s="4"/>
      <x:c r="O19" s="4"/>
      <x:c r="P19" s="4"/>
      <x:c r="Q19" s="4"/>
      <x:c r="R19" s="4"/>
      <x:c r="S19" s="4"/>
      <x:c r="T19" s="5"/>
      <x:c r="U19" s="35" t="str">
        <x:f t="shared" si="4"/>
      </x:c>
    </x:row>
    <x:row r="20" ht="46.650001525878906" customHeight="1">
      <x:c r="A20" s="8" t="str">
        <x:f t="shared" si="0"/>
      </x:c>
      <x:c r="B20" s="4"/>
      <x:c r="C20" s="4"/>
      <x:c r="D20" s="4"/>
      <x:c r="E20" s="5"/>
      <x:c r="F20" s="5"/>
      <x:c r="G20" s="5"/>
      <x:c r="H20" s="7" t="str">
        <x:f t="shared" si="1"/>
      </x:c>
      <x:c r="I20" s="6" t="str">
        <x:f t="shared" si="2"/>
      </x:c>
      <x:c r="J20" s="4"/>
      <x:c r="K20" s="4"/>
      <x:c r="L20" s="4"/>
      <x:c r="M20" s="9" t="str">
        <x:f t="shared" si="3"/>
      </x:c>
      <x:c r="N20" s="4"/>
      <x:c r="O20" s="4"/>
      <x:c r="P20" s="4"/>
      <x:c r="Q20" s="4"/>
      <x:c r="R20" s="4"/>
      <x:c r="S20" s="4"/>
      <x:c r="T20" s="5"/>
      <x:c r="U20" s="35" t="str">
        <x:f t="shared" si="4"/>
      </x:c>
    </x:row>
    <x:row r="21" ht="46.650001525878906" customHeight="1">
      <x:c r="A21" s="8" t="str">
        <x:f t="shared" si="0"/>
      </x:c>
      <x:c r="B21" s="4"/>
      <x:c r="C21" s="4"/>
      <x:c r="D21" s="4"/>
      <x:c r="E21" s="5"/>
      <x:c r="F21" s="5"/>
      <x:c r="G21" s="5"/>
      <x:c r="H21" s="7" t="str">
        <x:f t="shared" si="1"/>
      </x:c>
      <x:c r="I21" s="6" t="str">
        <x:f t="shared" si="2"/>
      </x:c>
      <x:c r="J21" s="4"/>
      <x:c r="K21" s="4"/>
      <x:c r="L21" s="4"/>
      <x:c r="M21" s="9" t="str">
        <x:f t="shared" si="3"/>
      </x:c>
      <x:c r="N21" s="4"/>
      <x:c r="O21" s="4"/>
      <x:c r="P21" s="4"/>
      <x:c r="Q21" s="4"/>
      <x:c r="R21" s="4"/>
      <x:c r="S21" s="4"/>
      <x:c r="T21" s="5"/>
      <x:c r="U21" s="35" t="str">
        <x:f t="shared" si="4"/>
      </x:c>
    </x:row>
    <x:row r="22" ht="46.650001525878906" customHeight="1">
      <x:c r="A22" s="8" t="str">
        <x:f t="shared" si="0"/>
      </x:c>
      <x:c r="B22" s="4"/>
      <x:c r="C22" s="4"/>
      <x:c r="D22" s="4"/>
      <x:c r="E22" s="5"/>
      <x:c r="F22" s="5"/>
      <x:c r="G22" s="5"/>
      <x:c r="H22" s="7" t="str">
        <x:f t="shared" si="1"/>
      </x:c>
      <x:c r="I22" s="6" t="str">
        <x:f t="shared" si="2"/>
      </x:c>
      <x:c r="J22" s="4"/>
      <x:c r="K22" s="4"/>
      <x:c r="L22" s="4"/>
      <x:c r="M22" s="9" t="str">
        <x:f t="shared" si="3"/>
      </x:c>
      <x:c r="N22" s="4"/>
      <x:c r="O22" s="4"/>
      <x:c r="P22" s="4"/>
      <x:c r="Q22" s="4"/>
      <x:c r="R22" s="4"/>
      <x:c r="S22" s="4"/>
      <x:c r="T22" s="5"/>
      <x:c r="U22" s="35" t="str">
        <x:f t="shared" si="4"/>
      </x:c>
    </x:row>
    <x:row r="23" ht="46.650001525878906" customHeight="1">
      <x:c r="A23" s="8" t="str">
        <x:f t="shared" si="0"/>
      </x:c>
      <x:c r="B23" s="4"/>
      <x:c r="C23" s="4"/>
      <x:c r="D23" s="4"/>
      <x:c r="E23" s="5"/>
      <x:c r="F23" s="5"/>
      <x:c r="G23" s="5"/>
      <x:c r="H23" s="7" t="str">
        <x:f t="shared" si="1"/>
      </x:c>
      <x:c r="I23" s="6" t="str">
        <x:f t="shared" si="2"/>
      </x:c>
      <x:c r="J23" s="4"/>
      <x:c r="K23" s="4"/>
      <x:c r="L23" s="4"/>
      <x:c r="M23" s="9" t="str">
        <x:f t="shared" si="3"/>
      </x:c>
      <x:c r="N23" s="4"/>
      <x:c r="O23" s="4"/>
      <x:c r="P23" s="4"/>
      <x:c r="Q23" s="4"/>
      <x:c r="R23" s="4"/>
      <x:c r="S23" s="4"/>
      <x:c r="T23" s="5"/>
      <x:c r="U23" s="35" t="str">
        <x:f t="shared" si="4"/>
      </x:c>
    </x:row>
    <x:row r="24" ht="46.650001525878906" customHeight="1">
      <x:c r="A24" s="8" t="str">
        <x:f t="shared" si="0"/>
      </x:c>
      <x:c r="B24" s="4"/>
      <x:c r="C24" s="4"/>
      <x:c r="D24" s="4"/>
      <x:c r="E24" s="5"/>
      <x:c r="F24" s="5"/>
      <x:c r="G24" s="5"/>
      <x:c r="H24" s="7" t="str">
        <x:f t="shared" si="1"/>
      </x:c>
      <x:c r="I24" s="6" t="str">
        <x:f t="shared" si="2"/>
      </x:c>
      <x:c r="J24" s="4"/>
      <x:c r="K24" s="4"/>
      <x:c r="L24" s="4"/>
      <x:c r="M24" s="9" t="str">
        <x:f t="shared" si="3"/>
      </x:c>
      <x:c r="N24" s="4"/>
      <x:c r="O24" s="4"/>
      <x:c r="P24" s="4"/>
      <x:c r="Q24" s="4"/>
      <x:c r="R24" s="4"/>
      <x:c r="S24" s="4"/>
      <x:c r="T24" s="5"/>
      <x:c r="U24" s="35" t="str">
        <x:f t="shared" si="4"/>
      </x:c>
    </x:row>
    <x:row r="25" ht="46.650001525878906" customHeight="1">
      <x:c r="A25" s="8" t="str">
        <x:f t="shared" si="0"/>
      </x:c>
      <x:c r="B25" s="4"/>
      <x:c r="C25" s="4"/>
      <x:c r="D25" s="4"/>
      <x:c r="E25" s="5"/>
      <x:c r="F25" s="5"/>
      <x:c r="G25" s="5"/>
      <x:c r="H25" s="7" t="str">
        <x:f t="shared" si="1"/>
      </x:c>
      <x:c r="I25" s="6" t="str">
        <x:f t="shared" si="2"/>
      </x:c>
      <x:c r="J25" s="4"/>
      <x:c r="K25" s="4"/>
      <x:c r="L25" s="4"/>
      <x:c r="M25" s="9" t="str">
        <x:f t="shared" si="3"/>
      </x:c>
      <x:c r="N25" s="4"/>
      <x:c r="O25" s="4"/>
      <x:c r="P25" s="4"/>
      <x:c r="Q25" s="4"/>
      <x:c r="R25" s="4"/>
      <x:c r="S25" s="4"/>
      <x:c r="T25" s="5"/>
      <x:c r="U25" s="35" t="str">
        <x:f t="shared" si="4"/>
      </x:c>
    </x:row>
    <x:row r="26" ht="46.650001525878906" customHeight="1">
      <x:c r="A26" s="8" t="str">
        <x:f t="shared" si="0"/>
      </x:c>
      <x:c r="B26" s="4"/>
      <x:c r="C26" s="4"/>
      <x:c r="D26" s="4"/>
      <x:c r="E26" s="5"/>
      <x:c r="F26" s="5"/>
      <x:c r="G26" s="5"/>
      <x:c r="H26" s="7" t="str">
        <x:f t="shared" si="1"/>
      </x:c>
      <x:c r="I26" s="6" t="str">
        <x:f t="shared" si="2"/>
      </x:c>
      <x:c r="J26" s="4"/>
      <x:c r="K26" s="4"/>
      <x:c r="L26" s="4"/>
      <x:c r="M26" s="9" t="str">
        <x:f t="shared" si="3"/>
      </x:c>
      <x:c r="N26" s="4"/>
      <x:c r="O26" s="4"/>
      <x:c r="P26" s="4"/>
      <x:c r="Q26" s="4"/>
      <x:c r="R26" s="4"/>
      <x:c r="S26" s="4"/>
      <x:c r="T26" s="5"/>
      <x:c r="U26" s="35" t="str">
        <x:f t="shared" si="4"/>
      </x:c>
    </x:row>
    <x:row r="27" ht="46.650001525878906" customHeight="1">
      <x:c r="A27" s="8" t="str">
        <x:f t="shared" si="0"/>
      </x:c>
      <x:c r="B27" s="4"/>
      <x:c r="C27" s="4"/>
      <x:c r="D27" s="4"/>
      <x:c r="E27" s="5"/>
      <x:c r="F27" s="5"/>
      <x:c r="G27" s="5"/>
      <x:c r="H27" s="7" t="str">
        <x:f t="shared" si="1"/>
      </x:c>
      <x:c r="I27" s="6" t="str">
        <x:f t="shared" si="2"/>
      </x:c>
      <x:c r="J27" s="4"/>
      <x:c r="K27" s="4"/>
      <x:c r="L27" s="4"/>
      <x:c r="M27" s="9" t="str">
        <x:f t="shared" si="3"/>
      </x:c>
      <x:c r="N27" s="4"/>
      <x:c r="O27" s="4"/>
      <x:c r="P27" s="4"/>
      <x:c r="Q27" s="4"/>
      <x:c r="R27" s="4"/>
      <x:c r="S27" s="4"/>
      <x:c r="T27" s="5"/>
      <x:c r="U27" s="35" t="str">
        <x:f t="shared" si="4"/>
      </x:c>
    </x:row>
    <x:row r="28" ht="46.650001525878906" customHeight="1">
      <x:c r="A28" s="8" t="str">
        <x:f t="shared" si="0"/>
      </x:c>
      <x:c r="B28" s="4"/>
      <x:c r="C28" s="4"/>
      <x:c r="D28" s="4"/>
      <x:c r="E28" s="5"/>
      <x:c r="F28" s="5"/>
      <x:c r="G28" s="5"/>
      <x:c r="H28" s="7" t="str">
        <x:f t="shared" si="1"/>
      </x:c>
      <x:c r="I28" s="6" t="str">
        <x:f t="shared" si="2"/>
      </x:c>
      <x:c r="J28" s="4"/>
      <x:c r="K28" s="4"/>
      <x:c r="L28" s="4"/>
      <x:c r="M28" s="9" t="str">
        <x:f t="shared" si="3"/>
      </x:c>
      <x:c r="N28" s="4"/>
      <x:c r="O28" s="4"/>
      <x:c r="P28" s="4"/>
      <x:c r="Q28" s="4"/>
      <x:c r="R28" s="4"/>
      <x:c r="S28" s="4"/>
      <x:c r="T28" s="5"/>
      <x:c r="U28" s="35" t="str">
        <x:f t="shared" si="4"/>
      </x:c>
    </x:row>
    <x:row r="29" ht="46.650001525878906" customHeight="1">
      <x:c r="A29" s="8" t="str">
        <x:f t="shared" si="0"/>
      </x:c>
      <x:c r="B29" s="4"/>
      <x:c r="C29" s="4"/>
      <x:c r="D29" s="4"/>
      <x:c r="E29" s="5"/>
      <x:c r="F29" s="5"/>
      <x:c r="G29" s="5"/>
      <x:c r="H29" s="7" t="str">
        <x:f t="shared" si="1"/>
      </x:c>
      <x:c r="I29" s="6" t="str">
        <x:f t="shared" si="2"/>
      </x:c>
      <x:c r="J29" s="4"/>
      <x:c r="K29" s="4"/>
      <x:c r="L29" s="4"/>
      <x:c r="M29" s="9" t="str">
        <x:f t="shared" si="3"/>
      </x:c>
      <x:c r="N29" s="4"/>
      <x:c r="O29" s="4"/>
      <x:c r="P29" s="4"/>
      <x:c r="Q29" s="4"/>
      <x:c r="R29" s="4"/>
      <x:c r="S29" s="4"/>
      <x:c r="T29" s="5"/>
      <x:c r="U29" s="35" t="str">
        <x:f t="shared" si="4"/>
      </x:c>
    </x:row>
    <x:row r="30" ht="46.650001525878906" customHeight="1">
      <x:c r="A30" s="8" t="str">
        <x:f t="shared" si="0"/>
      </x:c>
      <x:c r="B30" s="4"/>
      <x:c r="C30" s="4"/>
      <x:c r="D30" s="4"/>
      <x:c r="E30" s="5"/>
      <x:c r="F30" s="5"/>
      <x:c r="G30" s="5"/>
      <x:c r="H30" s="7" t="str">
        <x:f t="shared" si="1"/>
      </x:c>
      <x:c r="I30" s="6" t="str">
        <x:f t="shared" si="2"/>
      </x:c>
      <x:c r="J30" s="4"/>
      <x:c r="K30" s="4"/>
      <x:c r="L30" s="4"/>
      <x:c r="M30" s="9" t="str">
        <x:f t="shared" si="3"/>
      </x:c>
      <x:c r="N30" s="4"/>
      <x:c r="O30" s="4"/>
      <x:c r="P30" s="4"/>
      <x:c r="Q30" s="4"/>
      <x:c r="R30" s="4"/>
      <x:c r="S30" s="4"/>
      <x:c r="T30" s="5"/>
      <x:c r="U30" s="35" t="str">
        <x:f t="shared" si="4"/>
      </x:c>
    </x:row>
    <x:row r="31" ht="46.650001525878906" customHeight="1">
      <x:c r="A31" s="8" t="str">
        <x:f t="shared" si="0"/>
      </x:c>
      <x:c r="B31" s="4"/>
      <x:c r="C31" s="4"/>
      <x:c r="D31" s="4"/>
      <x:c r="E31" s="5"/>
      <x:c r="F31" s="5"/>
      <x:c r="G31" s="5"/>
      <x:c r="H31" s="7" t="str">
        <x:f t="shared" si="1"/>
      </x:c>
      <x:c r="I31" s="6" t="str">
        <x:f t="shared" si="2"/>
      </x:c>
      <x:c r="J31" s="4"/>
      <x:c r="K31" s="4"/>
      <x:c r="L31" s="4"/>
      <x:c r="M31" s="9" t="str">
        <x:f t="shared" si="3"/>
      </x:c>
      <x:c r="N31" s="4"/>
      <x:c r="O31" s="4"/>
      <x:c r="P31" s="4"/>
      <x:c r="Q31" s="4"/>
      <x:c r="R31" s="4"/>
      <x:c r="S31" s="4"/>
      <x:c r="T31" s="5"/>
      <x:c r="U31" s="35" t="str">
        <x:f t="shared" si="4"/>
      </x:c>
    </x:row>
    <x:row r="32" ht="46.650001525878906" customHeight="1">
      <x:c r="A32" s="8" t="str">
        <x:f t="shared" si="0"/>
      </x:c>
      <x:c r="B32" s="4"/>
      <x:c r="C32" s="4"/>
      <x:c r="D32" s="4"/>
      <x:c r="E32" s="5"/>
      <x:c r="F32" s="5"/>
      <x:c r="G32" s="5"/>
      <x:c r="H32" s="7" t="str">
        <x:f t="shared" si="1"/>
      </x:c>
      <x:c r="I32" s="6" t="str">
        <x:f t="shared" si="2"/>
      </x:c>
      <x:c r="J32" s="4"/>
      <x:c r="K32" s="4"/>
      <x:c r="L32" s="4"/>
      <x:c r="M32" s="9" t="str">
        <x:f t="shared" si="3"/>
      </x:c>
      <x:c r="N32" s="4"/>
      <x:c r="O32" s="4"/>
      <x:c r="P32" s="4"/>
      <x:c r="Q32" s="4"/>
      <x:c r="R32" s="4"/>
      <x:c r="S32" s="4"/>
      <x:c r="T32" s="5"/>
      <x:c r="U32" s="35" t="str">
        <x:f t="shared" si="4"/>
      </x:c>
    </x:row>
    <x:row r="33" ht="46.650001525878906" customHeight="1">
      <x:c r="A33" s="8" t="str">
        <x:f t="shared" si="0"/>
      </x:c>
      <x:c r="B33" s="4"/>
      <x:c r="C33" s="4"/>
      <x:c r="D33" s="4"/>
      <x:c r="E33" s="5"/>
      <x:c r="F33" s="5"/>
      <x:c r="G33" s="5"/>
      <x:c r="H33" s="7" t="str">
        <x:f t="shared" si="1"/>
      </x:c>
      <x:c r="I33" s="6" t="str">
        <x:f t="shared" si="2"/>
      </x:c>
      <x:c r="J33" s="4"/>
      <x:c r="K33" s="4"/>
      <x:c r="L33" s="4"/>
      <x:c r="M33" s="9" t="str">
        <x:f t="shared" si="3"/>
      </x:c>
      <x:c r="N33" s="4"/>
      <x:c r="O33" s="4"/>
      <x:c r="P33" s="4"/>
      <x:c r="Q33" s="4"/>
      <x:c r="R33" s="4"/>
      <x:c r="S33" s="4"/>
      <x:c r="T33" s="5"/>
      <x:c r="U33" s="35" t="str">
        <x:f t="shared" si="4"/>
      </x:c>
    </x:row>
    <x:row r="34" ht="46.650001525878906" customHeight="1">
      <x:c r="A34" s="8" t="str">
        <x:f t="shared" si="0"/>
      </x:c>
      <x:c r="B34" s="4"/>
      <x:c r="C34" s="4"/>
      <x:c r="D34" s="4"/>
      <x:c r="E34" s="5"/>
      <x:c r="F34" s="5"/>
      <x:c r="G34" s="5"/>
      <x:c r="H34" s="7" t="str">
        <x:f t="shared" si="1"/>
      </x:c>
      <x:c r="I34" s="6" t="str">
        <x:f t="shared" si="2"/>
      </x:c>
      <x:c r="J34" s="4"/>
      <x:c r="K34" s="4"/>
      <x:c r="L34" s="4"/>
      <x:c r="M34" s="9" t="str">
        <x:f t="shared" si="3"/>
      </x:c>
      <x:c r="N34" s="4"/>
      <x:c r="O34" s="4"/>
      <x:c r="P34" s="4"/>
      <x:c r="Q34" s="4"/>
      <x:c r="R34" s="4"/>
      <x:c r="S34" s="4"/>
      <x:c r="T34" s="5"/>
      <x:c r="U34" s="35" t="str">
        <x:f t="shared" si="4"/>
      </x:c>
    </x:row>
    <x:row r="35" ht="46.650001525878906" customHeight="1">
      <x:c r="A35" s="8" t="str">
        <x:f t="shared" si="0"/>
      </x:c>
      <x:c r="B35" s="4"/>
      <x:c r="C35" s="4"/>
      <x:c r="D35" s="4"/>
      <x:c r="E35" s="5"/>
      <x:c r="F35" s="5"/>
      <x:c r="G35" s="5"/>
      <x:c r="H35" s="7" t="str">
        <x:f t="shared" si="1"/>
      </x:c>
      <x:c r="I35" s="6" t="str">
        <x:f t="shared" si="2"/>
      </x:c>
      <x:c r="J35" s="4"/>
      <x:c r="K35" s="4"/>
      <x:c r="L35" s="4"/>
      <x:c r="M35" s="9" t="str">
        <x:f t="shared" si="3"/>
      </x:c>
      <x:c r="N35" s="4"/>
      <x:c r="O35" s="4"/>
      <x:c r="P35" s="4"/>
      <x:c r="Q35" s="4"/>
      <x:c r="R35" s="4"/>
      <x:c r="S35" s="4"/>
      <x:c r="T35" s="5"/>
      <x:c r="U35" s="35" t="str">
        <x:f t="shared" si="4"/>
      </x:c>
    </x:row>
    <x:row r="36" ht="46.650001525878906" customHeight="1">
      <x:c r="A36" s="8" t="str">
        <x:f t="shared" si="0"/>
      </x:c>
      <x:c r="B36" s="4"/>
      <x:c r="C36" s="4"/>
      <x:c r="D36" s="4"/>
      <x:c r="E36" s="5"/>
      <x:c r="F36" s="5"/>
      <x:c r="G36" s="5"/>
      <x:c r="H36" s="7" t="str">
        <x:f t="shared" si="1"/>
      </x:c>
      <x:c r="I36" s="6" t="str">
        <x:f t="shared" si="2"/>
      </x:c>
      <x:c r="J36" s="4"/>
      <x:c r="K36" s="4"/>
      <x:c r="L36" s="4"/>
      <x:c r="M36" s="9" t="str">
        <x:f t="shared" si="3"/>
      </x:c>
      <x:c r="N36" s="4"/>
      <x:c r="O36" s="4"/>
      <x:c r="P36" s="4"/>
      <x:c r="Q36" s="4"/>
      <x:c r="R36" s="4"/>
      <x:c r="S36" s="4"/>
      <x:c r="T36" s="5"/>
      <x:c r="U36" s="35" t="str">
        <x:f t="shared" si="4"/>
      </x:c>
    </x:row>
    <x:row r="37" ht="46.650001525878906" customHeight="1">
      <x:c r="A37" s="8" t="str">
        <x:f t="shared" si="0"/>
      </x:c>
      <x:c r="B37" s="4"/>
      <x:c r="C37" s="4"/>
      <x:c r="D37" s="4"/>
      <x:c r="E37" s="5"/>
      <x:c r="F37" s="5"/>
      <x:c r="G37" s="5"/>
      <x:c r="H37" s="7" t="str">
        <x:f t="shared" si="1"/>
      </x:c>
      <x:c r="I37" s="6" t="str">
        <x:f t="shared" si="2"/>
      </x:c>
      <x:c r="J37" s="4"/>
      <x:c r="K37" s="4"/>
      <x:c r="L37" s="4"/>
      <x:c r="M37" s="9" t="str">
        <x:f t="shared" si="3"/>
      </x:c>
      <x:c r="N37" s="4"/>
      <x:c r="O37" s="4"/>
      <x:c r="P37" s="4"/>
      <x:c r="Q37" s="4"/>
      <x:c r="R37" s="4"/>
      <x:c r="S37" s="4"/>
      <x:c r="T37" s="5"/>
      <x:c r="U37" s="35" t="str">
        <x:f t="shared" si="4"/>
      </x:c>
    </x:row>
    <x:row r="38" ht="46.650001525878906" customHeight="1">
      <x:c r="A38" s="8" t="str">
        <x:f t="shared" si="0"/>
      </x:c>
      <x:c r="B38" s="4"/>
      <x:c r="C38" s="4"/>
      <x:c r="D38" s="4"/>
      <x:c r="E38" s="5"/>
      <x:c r="F38" s="5"/>
      <x:c r="G38" s="5"/>
      <x:c r="H38" s="7" t="str">
        <x:f t="shared" si="1"/>
      </x:c>
      <x:c r="I38" s="6" t="str">
        <x:f t="shared" si="2"/>
      </x:c>
      <x:c r="J38" s="4"/>
      <x:c r="K38" s="4"/>
      <x:c r="L38" s="4"/>
      <x:c r="M38" s="9" t="str">
        <x:f t="shared" si="3"/>
      </x:c>
      <x:c r="N38" s="4"/>
      <x:c r="O38" s="4"/>
      <x:c r="P38" s="4"/>
      <x:c r="Q38" s="4"/>
      <x:c r="R38" s="4"/>
      <x:c r="S38" s="4"/>
      <x:c r="T38" s="5"/>
      <x:c r="U38" s="35" t="str">
        <x:f t="shared" si="4"/>
      </x:c>
    </x:row>
    <x:row r="39" ht="46.650001525878906" customHeight="1">
      <x:c r="A39" s="8" t="str">
        <x:f t="shared" si="0"/>
      </x:c>
      <x:c r="B39" s="4"/>
      <x:c r="C39" s="4"/>
      <x:c r="D39" s="4"/>
      <x:c r="E39" s="5"/>
      <x:c r="F39" s="5"/>
      <x:c r="G39" s="5"/>
      <x:c r="H39" s="7" t="str">
        <x:f t="shared" si="1"/>
      </x:c>
      <x:c r="I39" s="6" t="str">
        <x:f t="shared" si="2"/>
      </x:c>
      <x:c r="J39" s="4"/>
      <x:c r="K39" s="4"/>
      <x:c r="L39" s="4"/>
      <x:c r="M39" s="9" t="str">
        <x:f t="shared" si="3"/>
      </x:c>
      <x:c r="N39" s="4"/>
      <x:c r="O39" s="4"/>
      <x:c r="P39" s="4"/>
      <x:c r="Q39" s="4"/>
      <x:c r="R39" s="4"/>
      <x:c r="S39" s="4"/>
      <x:c r="T39" s="5"/>
      <x:c r="U39" s="35" t="str">
        <x:f t="shared" si="4"/>
      </x:c>
    </x:row>
    <x:row r="40" ht="46.650001525878906" customHeight="1">
      <x:c r="A40" s="8" t="str">
        <x:f t="shared" si="0"/>
      </x:c>
      <x:c r="B40" s="4"/>
      <x:c r="C40" s="4"/>
      <x:c r="D40" s="4"/>
      <x:c r="E40" s="5"/>
      <x:c r="F40" s="5"/>
      <x:c r="G40" s="5"/>
      <x:c r="H40" s="7" t="str">
        <x:f t="shared" si="1"/>
      </x:c>
      <x:c r="I40" s="6" t="str">
        <x:f t="shared" si="2"/>
      </x:c>
      <x:c r="J40" s="4"/>
      <x:c r="K40" s="4"/>
      <x:c r="L40" s="4"/>
      <x:c r="M40" s="9" t="str">
        <x:f t="shared" si="3"/>
      </x:c>
      <x:c r="N40" s="4"/>
      <x:c r="O40" s="4"/>
      <x:c r="P40" s="4"/>
      <x:c r="Q40" s="4"/>
      <x:c r="R40" s="4"/>
      <x:c r="S40" s="4"/>
      <x:c r="T40" s="5"/>
      <x:c r="U40" s="35" t="str">
        <x:f t="shared" si="4"/>
      </x:c>
    </x:row>
    <x:row r="41" ht="46.650001525878906" customHeight="1">
      <x:c r="A41" s="8" t="str">
        <x:f t="shared" si="0"/>
      </x:c>
      <x:c r="B41" s="4"/>
      <x:c r="C41" s="4"/>
      <x:c r="D41" s="4"/>
      <x:c r="E41" s="5"/>
      <x:c r="F41" s="5"/>
      <x:c r="G41" s="5"/>
      <x:c r="H41" s="7" t="str">
        <x:f t="shared" si="1"/>
      </x:c>
      <x:c r="I41" s="6" t="str">
        <x:f t="shared" si="2"/>
      </x:c>
      <x:c r="J41" s="4"/>
      <x:c r="K41" s="4"/>
      <x:c r="L41" s="4"/>
      <x:c r="M41" s="9" t="str">
        <x:f t="shared" si="3"/>
      </x:c>
      <x:c r="N41" s="4"/>
      <x:c r="O41" s="4"/>
      <x:c r="P41" s="4"/>
      <x:c r="Q41" s="4"/>
      <x:c r="R41" s="4"/>
      <x:c r="S41" s="4"/>
      <x:c r="T41" s="5"/>
      <x:c r="U41" s="35" t="str">
        <x:f t="shared" si="4"/>
      </x:c>
    </x:row>
    <x:row r="42" ht="46.650001525878906" customHeight="1">
      <x:c r="A42" s="8" t="str">
        <x:f t="shared" si="0"/>
      </x:c>
      <x:c r="B42" s="4"/>
      <x:c r="C42" s="4"/>
      <x:c r="D42" s="4"/>
      <x:c r="E42" s="5"/>
      <x:c r="F42" s="5"/>
      <x:c r="G42" s="5"/>
      <x:c r="H42" s="7" t="str">
        <x:f t="shared" si="1"/>
      </x:c>
      <x:c r="I42" s="6" t="str">
        <x:f t="shared" si="2"/>
      </x:c>
      <x:c r="J42" s="4"/>
      <x:c r="K42" s="4"/>
      <x:c r="L42" s="4"/>
      <x:c r="M42" s="9" t="str">
        <x:f t="shared" si="3"/>
      </x:c>
      <x:c r="N42" s="4"/>
      <x:c r="O42" s="4"/>
      <x:c r="P42" s="4"/>
      <x:c r="Q42" s="4"/>
      <x:c r="R42" s="4"/>
      <x:c r="S42" s="4"/>
      <x:c r="T42" s="5"/>
      <x:c r="U42" s="35" t="str">
        <x:f t="shared" si="4"/>
      </x:c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2">
    <x:cfRule type="expression" dxfId="47" priority="6">
      <x:formula>AND($C9&lt;&gt;"",$M9="")</x:formula>
    </x:cfRule>
  </x:conditionalFormatting>
  <x:conditionalFormatting sqref="A9:T500">
    <x:cfRule type="expression" dxfId="46" priority="7">
      <x:formula>$B9="Merchant"</x:formula>
    </x:cfRule>
    <x:cfRule type="expression" dxfId="45" priority="8">
      <x:formula>$B9="Remittance"</x:formula>
    </x:cfRule>
    <x:cfRule type="expression" dxfId="44" priority="15">
      <x:formula>AND($C9&lt;&gt;"",$M9="")</x:formula>
    </x:cfRule>
  </x:conditionalFormatting>
  <x:conditionalFormatting sqref="B9:B500">
    <x:cfRule type="expression" dxfId="43" priority="9">
      <x:formula>B9="Remittance"</x:formula>
    </x:cfRule>
  </x:conditionalFormatting>
  <x:conditionalFormatting sqref="I9:I42">
    <x:cfRule type="expression" dxfId="42" priority="1">
      <x:formula>I9="Active"</x:formula>
    </x:cfRule>
    <x:cfRule type="expression" dxfId="41" priority="2">
      <x:formula>I9="End Date Not Stated"</x:formula>
    </x:cfRule>
    <x:cfRule type="expression" dxfId="40" priority="3">
      <x:formula>I9="Expiring ≤7 Days"</x:formula>
    </x:cfRule>
    <x:cfRule type="expression" dxfId="39" priority="4">
      <x:formula>I9="Expiring 8–30 Days"</x:formula>
    </x:cfRule>
    <x:cfRule type="expression" dxfId="38" priority="5">
      <x:formula>I9="Expired"</x:formula>
    </x:cfRule>
  </x:conditionalFormatting>
  <x:conditionalFormatting sqref="I9:I500">
    <x:cfRule type="expression" dxfId="37" priority="10">
      <x:formula>I9="Active"</x:formula>
    </x:cfRule>
    <x:cfRule type="expression" dxfId="36" priority="11">
      <x:formula>I9="End Date Not Stated"</x:formula>
    </x:cfRule>
    <x:cfRule type="expression" dxfId="35" priority="12">
      <x:formula>I9="Expiring ≤7 Days"</x:formula>
    </x:cfRule>
    <x:cfRule type="expression" dxfId="34" priority="13">
      <x:formula>I9="Expiring 8–30 Days"</x:formula>
    </x:cfRule>
    <x:cfRule type="expression" dxfId="33" priority="14">
      <x:formula>I9="Expired"</x:formula>
    </x:cfRule>
  </x:conditionalFormatting>
  <x:conditionalFormatting sqref="U9:U42">
    <x:cfRule type="expression" dxfId="32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33113ccc264e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</x:cols>
  <x:sheetData>
    <x:row r="1" ht="22.649999618530273" customHeight="1">
      <x:c r="A1" s="52" t="s">
        <x:v>231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3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str">
        <x:v>Merchant Offers (Count Only): 0</x:v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COUNTIFS('urpay'!$C$9:$C$500,"&lt;&gt;",'urpay'!$M$9:$M$500,"&lt;&gt;")</x:f>
        <x:v>9</x:v>
      </x:c>
      <x:c r="B5" s="53"/>
      <x:c r="C5" s="53"/>
      <x:c r="D5" s="53" t="n">
        <x:f>COUNTIFS('urpay'!$C$9:$C$500,"&lt;&gt;",'urpay'!$I$9:$I$500,"End Date Not Stated")</x:f>
        <x:v>3</x:v>
      </x:c>
      <x:c r="E5" s="53" t="n">
        <x:f>COUNTIFS('urpay'!$C$9:$C$500,"&lt;&gt;",'urpay'!$I$9:$I$500,"End Date Not Stated")</x:f>
        <x:v>3</x:v>
      </x:c>
      <x:c r="F5" s="53"/>
      <x:c r="G5" s="53" t="n">
        <x:f>COUNTIFS('urpay'!$C$9:$C$500,"&lt;&gt;",'urpay'!$B$9:$B$500,"Remittance")</x:f>
        <x:v>1</x:v>
      </x:c>
      <x:c r="H5" s="53"/>
      <x:c r="I5" s="54" t="n">
        <x:f>COUNTIFS('urpay'!$C$9:$C$500,"&lt;&gt;",'urpay'!$B$9:$B$500,"Remittance")</x:f>
        <x:v>1</x:v>
      </x:c>
      <x:c r="J5" s="54" t="n">
        <x:f>COUNTIFS('urpay'!$C$9:$C$500,"&lt;&gt;",'urpay'!$I$9:$I$500,"Expiring ≤7 Days")+COUNTIFS('urpay'!$C$9:$C$500,"&lt;&gt;",'urpay'!$I$9:$I$500,"Expiring 8–30 Days")</x:f>
        <x:v>0</x:v>
      </x:c>
      <x:c r="K5" s="54"/>
      <x:c r="L5" s="54"/>
      <x:c r="M5" s="55" t="n">
        <x:v>0</x:v>
      </x:c>
      <x:c r="N5" s="55"/>
      <x:c r="O5" s="55"/>
      <x:c r="P5" s="55"/>
      <x:c r="Q5" s="53" t="n">
        <x:f>COUNTIFS('urpay'!$C$9:$C$500,"&lt;&gt;",'urpay'!$I$9:$I$500,"Expiring ≤7 Days")+COUNTIFS('urpay'!$C$9:$C$500,"&lt;&gt;",'urpay'!$I$9:$I$500,"Expiring 8–30 Days")</x:f>
        <x:v>0</x:v>
      </x:c>
      <x:c r="R5" s="53"/>
      <x:c r="S5" s="53"/>
      <x:c r="T5" s="53"/>
    </x:row>
    <x:row r="8" ht="30.649999618530273" customHeight="1">
      <x:c r="A8" s="3" t="s">
        <x:v>4</x:v>
      </x:c>
      <x:c r="B8" s="3" t="s">
        <x:v>5</x:v>
      </x:c>
      <x:c r="C8" s="3" t="s">
        <x:v>6</x:v>
      </x:c>
      <x:c r="D8" s="3" t="s">
        <x:v>7</x:v>
      </x:c>
      <x:c r="E8" s="3" t="s">
        <x:v>8</x:v>
      </x:c>
      <x:c r="F8" s="3" t="s">
        <x:v>9</x:v>
      </x:c>
      <x:c r="G8" s="3" t="s">
        <x:v>10</x:v>
      </x:c>
      <x:c r="H8" s="3" t="s">
        <x:v>11</x:v>
      </x:c>
      <x:c r="I8" s="3" t="s">
        <x:v>12</x:v>
      </x:c>
      <x:c r="J8" s="3" t="s">
        <x:v>13</x:v>
      </x:c>
      <x:c r="K8" s="3" t="s">
        <x:v>14</x:v>
      </x:c>
      <x:c r="L8" s="3" t="s">
        <x:v>15</x:v>
      </x:c>
      <x:c r="M8" s="3" t="s">
        <x:v>16</x:v>
      </x:c>
      <x:c r="N8" s="3" t="s">
        <x:v>17</x:v>
      </x:c>
      <x:c r="O8" s="3" t="s">
        <x:v>18</x:v>
      </x:c>
      <x:c r="P8" s="3" t="s">
        <x:v>19</x:v>
      </x:c>
      <x:c r="Q8" s="3" t="s">
        <x:v>20</x:v>
      </x:c>
      <x:c r="R8" s="3" t="s">
        <x:v>21</x:v>
      </x:c>
      <x:c r="S8" s="3" t="s">
        <x:v>22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6" si="0">IF(C9="","",ROW()-8)</x:f>
        <x:v>1</x:v>
      </x:c>
      <x:c r="B9" s="4" t="s">
        <x:v>23</x:v>
      </x:c>
      <x:c r="C9" s="4" t="s">
        <x:v>232</x:v>
      </x:c>
      <x:c r="D9" s="4" t="s">
        <x:v>233</x:v>
      </x:c>
      <x:c r="E9" s="5"/>
      <x:c r="F9" s="5"/>
      <x:c r="G9" s="5"/>
      <x:c r="H9" s="7" t="str">
        <x:f t="shared" ref="H9:H46" si="1">IF(OR(C9="",G9=""),"",G9-TODAY())</x:f>
      </x:c>
      <x:c r="I9" s="6" t="str">
        <x:f t="shared" ref="I9:I46" si="2">IF(C9="","",IF(G9="","End Date Not Stated",IF(G9&lt;TODAY(),"Expired",IF(G9&lt;=TODAY()+7,"Expiring ≤7 Days",IF(G9&lt;=TODAY()+30,"Expiring 8–30 Days","Active")))))</x:f>
        <x:v>End Date Not Stated</x:v>
      </x:c>
      <x:c r="J9" s="4" t="s">
        <x:v>234</x:v>
      </x:c>
      <x:c r="K9" s="4" t="s">
        <x:v>235</x:v>
      </x:c>
      <x:c r="L9" s="4" t="s">
        <x:v>236</x:v>
      </x:c>
      <x:c r="M9" s="9" t="str">
        <x:f t="shared" ref="M9:M46" si="3">IF(C9="","",IF(N9&lt;&gt;"",N9,IF(O9&lt;&gt;"",O9,IF(P9&lt;&gt;"",P9,IF(Q9&lt;&gt;"",Q9,IF(R9&lt;&gt;"",R9,""))))))</x:f>
        <x:v>https://www.urpay.com.sa/en/cashback-system</x:v>
      </x:c>
      <x:c r="N9" s="63" t="s">
        <x:v>237</x:v>
      </x:c>
      <x:c r="O9" s="4"/>
      <x:c r="P9" s="63" t="s">
        <x:v>238</x:v>
      </x:c>
      <x:c r="Q9" s="4" t="s">
        <x:v>239</x:v>
      </x:c>
      <x:c r="R9" s="4"/>
      <x:c r="S9" s="4" t="s">
        <x:v>240</x:v>
      </x:c>
      <x:c r="T9" s="5" t="n">
        <x:v>46240</x:v>
      </x:c>
      <x:c r="U9" s="35" t="str">
        <x:f t="shared" ref="U9:U46" si="4">IF(C9="","",IF(COUNTA(O9:R9)=0,"No direct social post verified",IF(O9&lt;&gt;"","Instagram","")&amp;IF(AND(O9&lt;&gt;"",OR(P9&lt;&gt;"",Q9&lt;&gt;"",R9&lt;&gt;"")),", ","")&amp;IF(P9&lt;&gt;"","X","")&amp;IF(AND(P9&lt;&gt;"",OR(Q9&lt;&gt;"",R9&lt;&gt;"")),", ","")&amp;IF(Q9&lt;&gt;"","Facebook","")&amp;IF(AND(Q9&lt;&gt;"",R9&lt;&gt;""),", ","")&amp;IF(R9&lt;&gt;"","TikTok","")))</x:f>
        <x:v>X, Facebook</x:v>
      </x:c>
    </x:row>
    <x:row r="10" ht="46.650001525878906" customHeight="1">
      <x:c r="A10" s="8" t="n">
        <x:f t="shared" si="0">IF(C10="","",ROW()-8)</x:f>
        <x:v>2</x:v>
      </x:c>
      <x:c r="B10" s="4" t="s">
        <x:v>55</x:v>
      </x:c>
      <x:c r="C10" s="4" t="s">
        <x:v>241</x:v>
      </x:c>
      <x:c r="D10" s="4" t="s">
        <x:v>242</x:v>
      </x:c>
      <x:c r="E10" s="5"/>
      <x:c r="F10" s="5"/>
      <x:c r="G10" s="5">
        <x:v>46387</x:v>
      </x:c>
      <x:c r="H10" s="7" t="n">
        <x:f t="shared" si="1">IF(OR(C10="",G10=""),"",G10-TODAY())</x:f>
        <x:v>127</x:v>
      </x:c>
      <x:c r="I10" s="6" t="str">
        <x:f t="shared" si="2">IF(C10="","",IF(G10="","End Date Not Stated",IF(G10&lt;TODAY(),"Expired",IF(G10&lt;=TODAY()+7,"Expiring ≤7 Days",IF(G10&lt;=TODAY()+30,"Expiring 8–30 Days","Active")))))</x:f>
        <x:v>Active</x:v>
      </x:c>
      <x:c r="J10" s="4" t="s">
        <x:v>243</x:v>
      </x:c>
      <x:c r="K10" s="4" t="s">
        <x:v>244</x:v>
      </x:c>
      <x:c r="L10" s="4" t="s">
        <x:v>245</x:v>
      </x:c>
      <x:c r="M10" s="9" t="str">
        <x:f t="shared" si="3">IF(C10="","",IF(N10&lt;&gt;"",N10,IF(O10&lt;&gt;"",O10,IF(P10&lt;&gt;"",P10,IF(Q10&lt;&gt;"",Q10,IF(R10&lt;&gt;"",R10,""))))))</x:f>
        <x:v>https://www.urpay.com.sa/en/urpay-offers/alhabibbedding</x:v>
      </x:c>
      <x:c r="N10" s="4" t="s">
        <x:v>246</x:v>
      </x:c>
      <x:c r="O10" s="4"/>
      <x:c r="P10" s="4"/>
      <x:c r="Q10" s="4"/>
      <x:c r="R10" s="4"/>
      <x:c r="S10" s="4" t="s">
        <x:v>247</x:v>
      </x:c>
      <x:c r="T10" s="5" t="n">
        <x:v>46240</x:v>
      </x:c>
      <x:c r="U10" s="35" t="str">
        <x:f t="shared" si="4">IF(C10="","",IF(COUNTA(O10:R10)=0,"No direct social post verified",IF(O10&lt;&gt;"","Instagram","")&amp;IF(AND(O10&lt;&gt;"",OR(P10&lt;&gt;"",Q10&lt;&gt;"",R10&lt;&gt;"")),", ","")&amp;IF(P10&lt;&gt;"","X","")&amp;IF(AND(P10&lt;&gt;"",OR(Q10&lt;&gt;"",R10&lt;&gt;"")),", ","")&amp;IF(Q10&lt;&gt;"","Facebook","")&amp;IF(AND(Q10&lt;&gt;"",R10&lt;&gt;""),", ","")&amp;IF(R10&lt;&gt;"","TikTok","")))</x:f>
        <x:v>No direct social post verified</x:v>
      </x:c>
    </x:row>
    <x:row r="11" ht="46.650001525878906" customHeight="1">
      <x:c r="A11" s="8" t="n">
        <x:f t="shared" si="0">IF(C11="","",ROW()-8)</x:f>
        <x:v>3</x:v>
      </x:c>
      <x:c r="B11" s="4" t="s">
        <x:v>55</x:v>
      </x:c>
      <x:c r="C11" s="4" t="s">
        <x:v>248</x:v>
      </x:c>
      <x:c r="D11" s="4" t="s">
        <x:v>249</x:v>
      </x:c>
      <x:c r="E11" s="5"/>
      <x:c r="F11" s="5"/>
      <x:c r="G11" s="5">
        <x:v>46387</x:v>
      </x:c>
      <x:c r="H11" s="7" t="n">
        <x:f t="shared" si="1">IF(OR(C11="",G11=""),"",G11-TODAY())</x:f>
        <x:v>127</x:v>
      </x:c>
      <x:c r="I11" s="6" t="str">
        <x:f t="shared" si="2">IF(C11="","",IF(G11="","End Date Not Stated",IF(G11&lt;TODAY(),"Expired",IF(G11&lt;=TODAY()+7,"Expiring ≤7 Days",IF(G11&lt;=TODAY()+30,"Expiring 8–30 Days","Active")))))</x:f>
        <x:v>Active</x:v>
      </x:c>
      <x:c r="J11" s="4" t="s">
        <x:v>250</x:v>
      </x:c>
      <x:c r="K11" s="4" t="s">
        <x:v>251</x:v>
      </x:c>
      <x:c r="L11" s="4" t="s">
        <x:v>252</x:v>
      </x:c>
      <x:c r="M11" s="9" t="str">
        <x:f t="shared" si="3">IF(C11="","",IF(N11&lt;&gt;"",N11,IF(O11&lt;&gt;"",O11,IF(P11&lt;&gt;"",P11,IF(Q11&lt;&gt;"",Q11,IF(R11&lt;&gt;"",R11,""))))))</x:f>
        <x:v>https://www.urpay.com.sa/en/urpay-offers/squatwolf</x:v>
      </x:c>
      <x:c r="N11" s="4" t="s">
        <x:v>253</x:v>
      </x:c>
      <x:c r="O11" s="4"/>
      <x:c r="P11" s="4"/>
      <x:c r="Q11" s="4"/>
      <x:c r="R11" s="4"/>
      <x:c r="S11" s="4" t="s">
        <x:v>254</x:v>
      </x:c>
      <x:c r="T11" s="5" t="n">
        <x:v>46240</x:v>
      </x:c>
      <x:c r="U11" s="35" t="str">
        <x:f t="shared" si="4">IF(C11="","",IF(COUNTA(O11:R11)=0,"No direct social post verified",IF(O11&lt;&gt;"","Instagram","")&amp;IF(AND(O11&lt;&gt;"",OR(P11&lt;&gt;"",Q11&lt;&gt;"",R11&lt;&gt;"")),", ","")&amp;IF(P11&lt;&gt;"","X","")&amp;IF(AND(P11&lt;&gt;"",OR(Q11&lt;&gt;"",R11&lt;&gt;"")),", ","")&amp;IF(Q11&lt;&gt;"","Facebook","")&amp;IF(AND(Q11&lt;&gt;"",R11&lt;&gt;""),", ","")&amp;IF(R11&lt;&gt;"","TikTok","")))</x:f>
        <x:v>No direct social post verified</x:v>
      </x:c>
    </x:row>
    <x:row r="12" ht="46.650001525878906" customHeight="1">
      <x:c r="A12" s="8" t="n">
        <x:f t="shared" si="0">IF(C12="","",ROW()-8)</x:f>
        <x:v>4</x:v>
      </x:c>
      <x:c r="B12" s="4" t="s">
        <x:v>55</x:v>
      </x:c>
      <x:c r="C12" s="4" t="s">
        <x:v>255</x:v>
      </x:c>
      <x:c r="D12" s="4" t="s">
        <x:v>256</x:v>
      </x:c>
      <x:c r="E12" s="5"/>
      <x:c r="F12" s="5"/>
      <x:c r="G12" s="5">
        <x:v>46387</x:v>
      </x:c>
      <x:c r="H12" s="7" t="n">
        <x:f t="shared" si="1">IF(OR(C12="",G12=""),"",G12-TODAY())</x:f>
        <x:v>127</x:v>
      </x:c>
      <x:c r="I12" s="6" t="str">
        <x:f t="shared" si="2">IF(C12="","",IF(G12="","End Date Not Stated",IF(G12&lt;TODAY(),"Expired",IF(G12&lt;=TODAY()+7,"Expiring ≤7 Days",IF(G12&lt;=TODAY()+30,"Expiring 8–30 Days","Active")))))</x:f>
        <x:v>Active</x:v>
      </x:c>
      <x:c r="J12" s="4" t="s">
        <x:v>257</x:v>
      </x:c>
      <x:c r="K12" s="4" t="s">
        <x:v>258</x:v>
      </x:c>
      <x:c r="L12" s="4" t="s">
        <x:v>245</x:v>
      </x:c>
      <x:c r="M12" s="9" t="str">
        <x:f t="shared" si="3">IF(C12="","",IF(N12&lt;&gt;"",N12,IF(O12&lt;&gt;"",O12,IF(P12&lt;&gt;"",P12,IF(Q12&lt;&gt;"",Q12,IF(R12&lt;&gt;"",R12,""))))))</x:f>
        <x:v>https://www.urpay.com.sa/en/urpay-offers/mag</x:v>
      </x:c>
      <x:c r="N12" s="4" t="s">
        <x:v>259</x:v>
      </x:c>
      <x:c r="O12" s="4"/>
      <x:c r="P12" s="4"/>
      <x:c r="Q12" s="4"/>
      <x:c r="R12" s="4"/>
      <x:c r="S12" s="4" t="s">
        <x:v>260</x:v>
      </x:c>
      <x:c r="T12" s="5" t="n">
        <x:v>46240</x:v>
      </x:c>
      <x:c r="U12" s="35" t="str">
        <x:f t="shared" si="4">IF(C12="","",IF(COUNTA(O12:R12)=0,"No direct social post verified",IF(O12&lt;&gt;"","Instagram","")&amp;IF(AND(O12&lt;&gt;"",OR(P12&lt;&gt;"",Q12&lt;&gt;"",R12&lt;&gt;"")),", ","")&amp;IF(P12&lt;&gt;"","X","")&amp;IF(AND(P12&lt;&gt;"",OR(Q12&lt;&gt;"",R12&lt;&gt;"")),", ","")&amp;IF(Q12&lt;&gt;"","Facebook","")&amp;IF(AND(Q12&lt;&gt;"",R12&lt;&gt;""),", ","")&amp;IF(R12&lt;&gt;"","TikTok","")))</x:f>
        <x:v>No direct social post verified</x:v>
      </x:c>
    </x:row>
    <x:row r="13" ht="46.650001525878906" customHeight="1">
      <x:c r="A13" s="8" t="n">
        <x:f t="shared" si="0">IF(C13="","",ROW()-8)</x:f>
        <x:v>5</x:v>
      </x:c>
      <x:c r="B13" s="4" t="s">
        <x:v>55</x:v>
      </x:c>
      <x:c r="C13" s="4" t="s">
        <x:v>261</x:v>
      </x:c>
      <x:c r="D13" s="4" t="s">
        <x:v>262</x:v>
      </x:c>
      <x:c r="E13" s="5"/>
      <x:c r="F13" s="5"/>
      <x:c r="G13" s="5">
        <x:v>46387</x:v>
      </x:c>
      <x:c r="H13" s="7" t="n">
        <x:f t="shared" si="1">IF(OR(C13="",G13=""),"",G13-TODAY())</x:f>
        <x:v>127</x:v>
      </x:c>
      <x:c r="I13" s="6" t="str">
        <x:f t="shared" si="2">IF(C13="","",IF(G13="","End Date Not Stated",IF(G13&lt;TODAY(),"Expired",IF(G13&lt;=TODAY()+7,"Expiring ≤7 Days",IF(G13&lt;=TODAY()+30,"Expiring 8–30 Days","Active")))))</x:f>
        <x:v>Active</x:v>
      </x:c>
      <x:c r="J13" s="4" t="s">
        <x:v>263</x:v>
      </x:c>
      <x:c r="K13" s="4" t="s">
        <x:v>264</x:v>
      </x:c>
      <x:c r="L13" s="4" t="s">
        <x:v>252</x:v>
      </x:c>
      <x:c r="M13" s="9" t="str">
        <x:f t="shared" si="3">IF(C13="","",IF(N13&lt;&gt;"",N13,IF(O13&lt;&gt;"",O13,IF(P13&lt;&gt;"",P13,IF(Q13&lt;&gt;"",Q13,IF(R13&lt;&gt;"",R13,""))))))</x:f>
        <x:v>https://www.urpay.com.sa/en/urpay-offers/b-bw</x:v>
      </x:c>
      <x:c r="N13" s="4" t="s">
        <x:v>265</x:v>
      </x:c>
      <x:c r="O13" s="4"/>
      <x:c r="P13" s="4"/>
      <x:c r="Q13" s="4"/>
      <x:c r="R13" s="4"/>
      <x:c r="S13" s="4" t="s">
        <x:v>266</x:v>
      </x:c>
      <x:c r="T13" s="5" t="n">
        <x:v>46240</x:v>
      </x:c>
      <x:c r="U13" s="35" t="str">
        <x:f t="shared" si="4">IF(C13="","",IF(COUNTA(O13:R13)=0,"No direct social post verified",IF(O13&lt;&gt;"","Instagram","")&amp;IF(AND(O13&lt;&gt;"",OR(P13&lt;&gt;"",Q13&lt;&gt;"",R13&lt;&gt;"")),", ","")&amp;IF(P13&lt;&gt;"","X","")&amp;IF(AND(P13&lt;&gt;"",OR(Q13&lt;&gt;"",R13&lt;&gt;"")),", ","")&amp;IF(Q13&lt;&gt;"","Facebook","")&amp;IF(AND(Q13&lt;&gt;"",R13&lt;&gt;""),", ","")&amp;IF(R13&lt;&gt;"","TikTok","")))</x:f>
        <x:v>No direct social post verified</x:v>
      </x:c>
    </x:row>
    <x:row r="14" ht="46.650001525878906" customHeight="1">
      <x:c r="A14" s="8" t="n">
        <x:f t="shared" si="0">IF(C14="","",ROW()-8)</x:f>
        <x:v>6</x:v>
      </x:c>
      <x:c r="B14" s="4" t="s">
        <x:v>55</x:v>
      </x:c>
      <x:c r="C14" s="4" t="s">
        <x:v>267</x:v>
      </x:c>
      <x:c r="D14" s="4" t="s">
        <x:v>268</x:v>
      </x:c>
      <x:c r="E14" s="5"/>
      <x:c r="F14" s="5"/>
      <x:c r="G14" s="5">
        <x:v>46387</x:v>
      </x:c>
      <x:c r="H14" s="7" t="n">
        <x:f t="shared" si="1">IF(OR(C14="",G14=""),"",G14-TODAY())</x:f>
        <x:v>127</x:v>
      </x:c>
      <x:c r="I14" s="6" t="str">
        <x:f t="shared" si="2">IF(C14="","",IF(G14="","End Date Not Stated",IF(G14&lt;TODAY(),"Expired",IF(G14&lt;=TODAY()+7,"Expiring ≤7 Days",IF(G14&lt;=TODAY()+30,"Expiring 8–30 Days","Active")))))</x:f>
        <x:v>Active</x:v>
      </x:c>
      <x:c r="J14" s="4" t="s">
        <x:v>269</x:v>
      </x:c>
      <x:c r="K14" s="4" t="s">
        <x:v>270</x:v>
      </x:c>
      <x:c r="L14" s="4" t="s">
        <x:v>245</x:v>
      </x:c>
      <x:c r="M14" s="9" t="str">
        <x:f t="shared" si="3">IF(C14="","",IF(N14&lt;&gt;"",N14,IF(O14&lt;&gt;"",O14,IF(P14&lt;&gt;"",P14,IF(Q14&lt;&gt;"",Q14,IF(R14&lt;&gt;"",R14,""))))))</x:f>
        <x:v>https://www.urpay.com.sa/en/urpay-offers/nadi-ph</x:v>
      </x:c>
      <x:c r="N14" s="4" t="s">
        <x:v>271</x:v>
      </x:c>
      <x:c r="O14" s="4"/>
      <x:c r="P14" s="4"/>
      <x:c r="Q14" s="4"/>
      <x:c r="R14" s="4"/>
      <x:c r="S14" s="4" t="s">
        <x:v>272</x:v>
      </x:c>
      <x:c r="T14" s="5" t="n">
        <x:v>46240</x:v>
      </x:c>
      <x:c r="U14" s="35" t="str">
        <x:f t="shared" si="4">IF(C14="","",IF(COUNTA(O14:R14)=0,"No direct social post verified",IF(O14&lt;&gt;"","Instagram","")&amp;IF(AND(O14&lt;&gt;"",OR(P14&lt;&gt;"",Q14&lt;&gt;"",R14&lt;&gt;"")),", ","")&amp;IF(P14&lt;&gt;"","X","")&amp;IF(AND(P14&lt;&gt;"",OR(Q14&lt;&gt;"",R14&lt;&gt;"")),", ","")&amp;IF(Q14&lt;&gt;"","Facebook","")&amp;IF(AND(Q14&lt;&gt;"",R14&lt;&gt;""),", ","")&amp;IF(R14&lt;&gt;"","TikTok","")))</x:f>
        <x:v>No direct social post verified</x:v>
      </x:c>
    </x:row>
    <x:row r="15" ht="46.650001525878906" customHeight="1">
      <x:c r="A15" s="8" t="n">
        <x:f t="shared" si="0">IF(C15="","",ROW()-8)</x:f>
        <x:v>7</x:v>
      </x:c>
      <x:c r="B15" s="4" t="s">
        <x:v>55</x:v>
      </x:c>
      <x:c r="C15" s="4" t="s">
        <x:v>273</x:v>
      </x:c>
      <x:c r="D15" s="4" t="s">
        <x:v>274</x:v>
      </x:c>
      <x:c r="E15" s="5"/>
      <x:c r="F15" s="5"/>
      <x:c r="G15" s="5">
        <x:v>46203</x:v>
      </x:c>
      <x:c r="H15" s="7" t="n">
        <x:f t="shared" si="1">IF(OR(C15="",G15=""),"",G15-TODAY())</x:f>
        <x:v>-57</x:v>
      </x:c>
      <x:c r="I15" s="6" t="str">
        <x:f t="shared" si="2">IF(C15="","",IF(G15="","End Date Not Stated",IF(G15&lt;TODAY(),"Expired",IF(G15&lt;=TODAY()+7,"Expiring ≤7 Days",IF(G15&lt;=TODAY()+30,"Expiring 8–30 Days","Active")))))</x:f>
        <x:v>Expired</x:v>
      </x:c>
      <x:c r="J15" s="4" t="s">
        <x:v>95</x:v>
      </x:c>
      <x:c r="K15" s="4" t="s">
        <x:v>275</x:v>
      </x:c>
      <x:c r="L15" s="4" t="s">
        <x:v>276</x:v>
      </x:c>
      <x:c r="M15" s="9" t="str">
        <x:f t="shared" si="3">IF(C15="","",IF(N15&lt;&gt;"",N15,IF(O15&lt;&gt;"",O15,IF(P15&lt;&gt;"",P15,IF(Q15&lt;&gt;"",Q15,IF(R15&lt;&gt;"",R15,""))))))</x:f>
        <x:v>https://www.urpay.com.sa/en/urpay-offers/iherb</x:v>
      </x:c>
      <x:c r="N15" s="4" t="s">
        <x:v>277</x:v>
      </x:c>
      <x:c r="O15" s="4"/>
      <x:c r="P15" s="4"/>
      <x:c r="Q15" s="4"/>
      <x:c r="R15" s="4"/>
      <x:c r="S15" s="4" t="s">
        <x:v>278</x:v>
      </x:c>
      <x:c r="T15" s="5" t="n">
        <x:v>46240</x:v>
      </x:c>
      <x:c r="U15" s="35" t="str">
        <x:f t="shared" si="4">IF(C15="","",IF(COUNTA(O15:R15)=0,"No direct social post verified",IF(O15&lt;&gt;"","Instagram","")&amp;IF(AND(O15&lt;&gt;"",OR(P15&lt;&gt;"",Q15&lt;&gt;"",R15&lt;&gt;"")),", ","")&amp;IF(P15&lt;&gt;"","X","")&amp;IF(AND(P15&lt;&gt;"",OR(Q15&lt;&gt;"",R15&lt;&gt;"")),", ","")&amp;IF(Q15&lt;&gt;"","Facebook","")&amp;IF(AND(Q15&lt;&gt;"",R15&lt;&gt;""),", ","")&amp;IF(R15&lt;&gt;"","TikTok","")))</x:f>
        <x:v>No direct social post verified</x:v>
      </x:c>
    </x:row>
    <x:row r="16" ht="46.650001525878906" customHeight="1">
      <x:c r="A16" s="8" t="n">
        <x:f t="shared" si="0">IF(C16="","",ROW()-8)</x:f>
        <x:v>8</x:v>
      </x:c>
      <x:c r="B16" s="4" t="s">
        <x:v>279</x:v>
      </x:c>
      <x:c r="C16" s="4" t="s">
        <x:v>280</x:v>
      </x:c>
      <x:c r="D16" s="4" t="s">
        <x:v>281</x:v>
      </x:c>
      <x:c r="E16" s="5"/>
      <x:c r="F16" s="5"/>
      <x:c r="G16" s="5"/>
      <x:c r="H16" s="7" t="str">
        <x:f t="shared" si="1">IF(OR(C16="",G16=""),"",G16-TODAY())</x:f>
      </x:c>
      <x:c r="I16" s="6" t="str">
        <x:f t="shared" si="2">IF(C16="","",IF(G16="","End Date Not Stated",IF(G16&lt;TODAY(),"Expired",IF(G16&lt;=TODAY()+7,"Expiring ≤7 Days",IF(G16&lt;=TODAY()+30,"Expiring 8–30 Days","Active")))))</x:f>
        <x:v>End Date Not Stated</x:v>
      </x:c>
      <x:c r="J16" s="4" t="s">
        <x:v>282</x:v>
      </x:c>
      <x:c r="K16" s="4" t="s">
        <x:v>283</x:v>
      </x:c>
      <x:c r="L16" s="4" t="s">
        <x:v>284</x:v>
      </x:c>
      <x:c r="M16" s="9" t="str">
        <x:f t="shared" si="3">IF(C16="","",IF(N16&lt;&gt;"",N16,IF(O16&lt;&gt;"",O16,IF(P16&lt;&gt;"",P16,IF(Q16&lt;&gt;"",Q16,IF(R16&lt;&gt;"",R16,""))))))</x:f>
        <x:v>https://x.com/urpay_sa/status/2074433249682845889</x:v>
      </x:c>
      <x:c r="N16" s="4"/>
      <x:c r="O16" s="4"/>
      <x:c r="P16" s="4" t="s">
        <x:v>285</x:v>
      </x:c>
      <x:c r="Q16" s="4"/>
      <x:c r="R16" s="4"/>
      <x:c r="S16" s="4" t="s">
        <x:v>286</x:v>
      </x:c>
      <x:c r="T16" s="5" t="n">
        <x:v>46240</x:v>
      </x:c>
      <x:c r="U16" s="35" t="str">
        <x:f t="shared" si="4">IF(C16="","",IF(COUNTA(O16:R16)=0,"No direct social post verified",IF(O16&lt;&gt;"","Instagram","")&amp;IF(AND(O16&lt;&gt;"",OR(P16&lt;&gt;"",Q16&lt;&gt;"",R16&lt;&gt;"")),", ","")&amp;IF(P16&lt;&gt;"","X","")&amp;IF(AND(P16&lt;&gt;"",OR(Q16&lt;&gt;"",R16&lt;&gt;"")),", ","")&amp;IF(Q16&lt;&gt;"","Facebook","")&amp;IF(AND(Q16&lt;&gt;"",R16&lt;&gt;""),", ","")&amp;IF(R16&lt;&gt;"","TikTok","")))</x:f>
        <x:v>X</x:v>
      </x:c>
    </x:row>
    <x:row r="17" ht="46.650001525878906" customHeight="1">
      <x:c r="A17" s="8" t="n">
        <x:f t="shared" si="0">IF(C17="","",ROW()-8)</x:f>
        <x:v>9</x:v>
      </x:c>
      <x:c r="B17" s="124" t="str">
        <x:v>Remittance</x:v>
      </x:c>
      <x:c r="C17" s="124" t="str">
        <x:v>International Transfer Scratch &amp; Win – Up to SAR 10,000</x:v>
      </x:c>
      <x:c r="D17" s="124" t="str">
        <x:v>Every international transfer generates a scratch chance to win a cash prize of up to SAR 10,000.</x:v>
      </x:c>
      <x:c r="E17" s="125"/>
      <x:c r="F17" s="125"/>
      <x:c r="G17" s="125"/>
      <x:c r="H17" s="126" t="str">
        <x:f t="shared" si="1">IF(OR(C17="",G17=""),"",G17-TODAY())</x:f>
      </x:c>
      <x:c r="I17" s="124" t="str">
        <x:f t="shared" si="2">IF(C17="","",IF(G17="","End Date Not Stated",IF(G17&lt;TODAY(),"Expired",IF(G17&lt;=TODAY()+7,"Expiring ≤7 Days",IF(G17&lt;=TODAY()+30,"Expiring 8–30 Days","Active")))))</x:f>
        <x:v>End Date Not Stated</x:v>
      </x:c>
      <x:c r="J17" s="124" t="str">
        <x:v>International transfers</x:v>
      </x:c>
      <x:c r="K17" s="124" t="str">
        <x:v>Scratch-and-win cash prizes up to SAR 10,000</x:v>
      </x:c>
      <x:c r="L17" s="124" t="str">
        <x:v>urpay customers making eligible international transfers; provider terms apply</x:v>
      </x:c>
      <x:c r="M17" s="124" t="str">
        <x:f t="shared" si="3">IF(C17="","",IF(N17&lt;&gt;"",N17,IF(O17&lt;&gt;"",O17,IF(P17&lt;&gt;"",P17,IF(Q17&lt;&gt;"",Q17,IF(R17&lt;&gt;"",R17,""))))))</x:f>
        <x:v>https://www.facebook.com/urpay.sa/posts/scratch-win-with-every-international-transfer-via-urpay-and-you-could-win-up-to-/1079237764323076/</x:v>
      </x:c>
      <x:c r="N17" s="124"/>
      <x:c r="O17" s="124"/>
      <x:c r="P17" s="124"/>
      <x:c r="Q17" s="124" t="str">
        <x:v>https://www.facebook.com/urpay.sa/posts/scratch-win-with-every-international-transfer-via-urpay-and-you-could-win-up-to-/1079237764323076/</x:v>
      </x:c>
      <x:c r="R17" s="124"/>
      <x:c r="S17" s="124" t="str">
        <x:v>A direct official Facebook post promotes scratch-and-win rewards up to SAR 10,000. The post does not state a campaign end date.</x:v>
      </x:c>
      <x:c r="T17" s="125" t="n">
        <x:v>46240</x:v>
      </x:c>
      <x:c r="U17" s="127" t="str">
        <x:f t="shared" si="4">IF(C17="","",IF(COUNTA(O17:R17)=0,"No direct social post verified",IF(O17&lt;&gt;"","Instagram","")&amp;IF(AND(O17&lt;&gt;"",OR(P17&lt;&gt;"",Q17&lt;&gt;"",R17&lt;&gt;"")),", ","")&amp;IF(P17&lt;&gt;"","X","")&amp;IF(AND(P17&lt;&gt;"",OR(Q17&lt;&gt;"",R17&lt;&gt;"")),", ","")&amp;IF(Q17&lt;&gt;"","Facebook","")&amp;IF(AND(Q17&lt;&gt;"",R17&lt;&gt;""),", ","")&amp;IF(R17&lt;&gt;"","TikTok","")))</x:f>
        <x:v>Facebook</x:v>
      </x:c>
    </x:row>
    <x:row r="18" ht="46.650001525878906" customHeight="1">
      <x:c r="A18" s="8" t="str">
        <x:f t="shared" si="0"/>
      </x:c>
      <x:c r="B18" s="4"/>
      <x:c r="C18" s="4"/>
      <x:c r="D18" s="4"/>
      <x:c r="E18" s="5"/>
      <x:c r="F18" s="5"/>
      <x:c r="G18" s="5"/>
      <x:c r="H18" s="7" t="str">
        <x:f t="shared" si="1"/>
      </x:c>
      <x:c r="I18" s="6" t="str">
        <x:f t="shared" si="2"/>
      </x:c>
      <x:c r="J18" s="4"/>
      <x:c r="K18" s="4"/>
      <x:c r="L18" s="4"/>
      <x:c r="M18" s="9" t="str">
        <x:f t="shared" si="3"/>
      </x:c>
      <x:c r="N18" s="4"/>
      <x:c r="O18" s="4"/>
      <x:c r="P18" s="4"/>
      <x:c r="Q18" s="4"/>
      <x:c r="R18" s="4"/>
      <x:c r="S18" s="4"/>
      <x:c r="T18" s="5"/>
      <x:c r="U18" s="35" t="str">
        <x:f t="shared" si="4"/>
      </x:c>
    </x:row>
    <x:row r="19" ht="46.650001525878906" customHeight="1">
      <x:c r="A19" s="8" t="str">
        <x:f t="shared" si="0"/>
      </x:c>
      <x:c r="B19" s="4"/>
      <x:c r="C19" s="4"/>
      <x:c r="D19" s="4"/>
      <x:c r="E19" s="5"/>
      <x:c r="F19" s="5"/>
      <x:c r="G19" s="5"/>
      <x:c r="H19" s="7" t="str">
        <x:f t="shared" si="1"/>
      </x:c>
      <x:c r="I19" s="6" t="str">
        <x:f t="shared" si="2"/>
      </x:c>
      <x:c r="J19" s="4"/>
      <x:c r="K19" s="4"/>
      <x:c r="L19" s="4"/>
      <x:c r="M19" s="9" t="str">
        <x:f t="shared" si="3"/>
      </x:c>
      <x:c r="N19" s="4"/>
      <x:c r="O19" s="4"/>
      <x:c r="P19" s="4"/>
      <x:c r="Q19" s="4"/>
      <x:c r="R19" s="4"/>
      <x:c r="S19" s="4"/>
      <x:c r="T19" s="5"/>
      <x:c r="U19" s="35" t="str">
        <x:f t="shared" si="4"/>
      </x:c>
    </x:row>
    <x:row r="20" ht="46.650001525878906" customHeight="1">
      <x:c r="A20" s="8" t="str">
        <x:f t="shared" si="0"/>
      </x:c>
      <x:c r="B20" s="4"/>
      <x:c r="C20" s="4"/>
      <x:c r="D20" s="4"/>
      <x:c r="E20" s="5"/>
      <x:c r="F20" s="5"/>
      <x:c r="G20" s="5"/>
      <x:c r="H20" s="7" t="str">
        <x:f t="shared" si="1"/>
      </x:c>
      <x:c r="I20" s="6" t="str">
        <x:f t="shared" si="2"/>
      </x:c>
      <x:c r="J20" s="4"/>
      <x:c r="K20" s="4"/>
      <x:c r="L20" s="4"/>
      <x:c r="M20" s="9" t="str">
        <x:f t="shared" si="3"/>
      </x:c>
      <x:c r="N20" s="4"/>
      <x:c r="O20" s="4"/>
      <x:c r="P20" s="4"/>
      <x:c r="Q20" s="4"/>
      <x:c r="R20" s="4"/>
      <x:c r="S20" s="4"/>
      <x:c r="T20" s="5"/>
      <x:c r="U20" s="35" t="str">
        <x:f t="shared" si="4"/>
      </x:c>
    </x:row>
    <x:row r="21" ht="46.650001525878906" customHeight="1">
      <x:c r="A21" s="8" t="str">
        <x:f t="shared" si="0"/>
      </x:c>
      <x:c r="B21" s="4"/>
      <x:c r="C21" s="4"/>
      <x:c r="D21" s="4"/>
      <x:c r="E21" s="5"/>
      <x:c r="F21" s="5"/>
      <x:c r="G21" s="5"/>
      <x:c r="H21" s="7" t="str">
        <x:f t="shared" si="1"/>
      </x:c>
      <x:c r="I21" s="6" t="str">
        <x:f t="shared" si="2"/>
      </x:c>
      <x:c r="J21" s="4"/>
      <x:c r="K21" s="4"/>
      <x:c r="L21" s="4"/>
      <x:c r="M21" s="9" t="str">
        <x:f t="shared" si="3"/>
      </x:c>
      <x:c r="N21" s="4"/>
      <x:c r="O21" s="4"/>
      <x:c r="P21" s="4"/>
      <x:c r="Q21" s="4"/>
      <x:c r="R21" s="4"/>
      <x:c r="S21" s="4"/>
      <x:c r="T21" s="5"/>
      <x:c r="U21" s="35" t="str">
        <x:f t="shared" si="4"/>
      </x:c>
    </x:row>
    <x:row r="22" ht="46.650001525878906" customHeight="1">
      <x:c r="A22" s="8" t="str">
        <x:f t="shared" si="0"/>
      </x:c>
      <x:c r="B22" s="4"/>
      <x:c r="C22" s="4"/>
      <x:c r="D22" s="4"/>
      <x:c r="E22" s="5"/>
      <x:c r="F22" s="5"/>
      <x:c r="G22" s="5"/>
      <x:c r="H22" s="7" t="str">
        <x:f t="shared" si="1"/>
      </x:c>
      <x:c r="I22" s="6" t="str">
        <x:f t="shared" si="2"/>
      </x:c>
      <x:c r="J22" s="4"/>
      <x:c r="K22" s="4"/>
      <x:c r="L22" s="4"/>
      <x:c r="M22" s="9" t="str">
        <x:f t="shared" si="3"/>
      </x:c>
      <x:c r="N22" s="4"/>
      <x:c r="O22" s="4"/>
      <x:c r="P22" s="4"/>
      <x:c r="Q22" s="4"/>
      <x:c r="R22" s="4"/>
      <x:c r="S22" s="4"/>
      <x:c r="T22" s="5"/>
      <x:c r="U22" s="35" t="str">
        <x:f t="shared" si="4"/>
      </x:c>
    </x:row>
    <x:row r="23" ht="46.650001525878906" customHeight="1">
      <x:c r="A23" s="8" t="str">
        <x:f t="shared" si="0"/>
      </x:c>
      <x:c r="B23" s="4"/>
      <x:c r="C23" s="4"/>
      <x:c r="D23" s="4"/>
      <x:c r="E23" s="5"/>
      <x:c r="F23" s="5"/>
      <x:c r="G23" s="5"/>
      <x:c r="H23" s="7" t="str">
        <x:f t="shared" si="1"/>
      </x:c>
      <x:c r="I23" s="6" t="str">
        <x:f t="shared" si="2"/>
      </x:c>
      <x:c r="J23" s="4"/>
      <x:c r="K23" s="4"/>
      <x:c r="L23" s="4"/>
      <x:c r="M23" s="9" t="str">
        <x:f t="shared" si="3"/>
      </x:c>
      <x:c r="N23" s="4"/>
      <x:c r="O23" s="4"/>
      <x:c r="P23" s="4"/>
      <x:c r="Q23" s="4"/>
      <x:c r="R23" s="4"/>
      <x:c r="S23" s="4"/>
      <x:c r="T23" s="5"/>
      <x:c r="U23" s="35" t="str">
        <x:f t="shared" si="4"/>
      </x:c>
    </x:row>
    <x:row r="24" ht="46.650001525878906" customHeight="1">
      <x:c r="A24" s="8" t="str">
        <x:f t="shared" si="0"/>
      </x:c>
      <x:c r="B24" s="4"/>
      <x:c r="C24" s="4"/>
      <x:c r="D24" s="4"/>
      <x:c r="E24" s="5"/>
      <x:c r="F24" s="5"/>
      <x:c r="G24" s="5"/>
      <x:c r="H24" s="7" t="str">
        <x:f t="shared" si="1"/>
      </x:c>
      <x:c r="I24" s="6" t="str">
        <x:f t="shared" si="2"/>
      </x:c>
      <x:c r="J24" s="4"/>
      <x:c r="K24" s="4"/>
      <x:c r="L24" s="4"/>
      <x:c r="M24" s="9" t="str">
        <x:f t="shared" si="3"/>
      </x:c>
      <x:c r="N24" s="4"/>
      <x:c r="O24" s="4"/>
      <x:c r="P24" s="4"/>
      <x:c r="Q24" s="4"/>
      <x:c r="R24" s="4"/>
      <x:c r="S24" s="4"/>
      <x:c r="T24" s="5"/>
      <x:c r="U24" s="35" t="str">
        <x:f t="shared" si="4"/>
      </x:c>
    </x:row>
    <x:row r="25" ht="46.650001525878906" customHeight="1">
      <x:c r="A25" s="8" t="str">
        <x:f t="shared" si="0"/>
      </x:c>
      <x:c r="B25" s="4"/>
      <x:c r="C25" s="4"/>
      <x:c r="D25" s="4"/>
      <x:c r="E25" s="5"/>
      <x:c r="F25" s="5"/>
      <x:c r="G25" s="5"/>
      <x:c r="H25" s="7" t="str">
        <x:f t="shared" si="1"/>
      </x:c>
      <x:c r="I25" s="6" t="str">
        <x:f t="shared" si="2"/>
      </x:c>
      <x:c r="J25" s="4"/>
      <x:c r="K25" s="4"/>
      <x:c r="L25" s="4"/>
      <x:c r="M25" s="9" t="str">
        <x:f t="shared" si="3"/>
      </x:c>
      <x:c r="N25" s="4"/>
      <x:c r="O25" s="4"/>
      <x:c r="P25" s="4"/>
      <x:c r="Q25" s="4"/>
      <x:c r="R25" s="4"/>
      <x:c r="S25" s="4"/>
      <x:c r="T25" s="5"/>
      <x:c r="U25" s="35" t="str">
        <x:f t="shared" si="4"/>
      </x:c>
    </x:row>
    <x:row r="26" ht="46.650001525878906" customHeight="1">
      <x:c r="A26" s="8" t="str">
        <x:f t="shared" si="0"/>
      </x:c>
      <x:c r="B26" s="4"/>
      <x:c r="C26" s="4"/>
      <x:c r="D26" s="4"/>
      <x:c r="E26" s="5"/>
      <x:c r="F26" s="5"/>
      <x:c r="G26" s="5"/>
      <x:c r="H26" s="7" t="str">
        <x:f t="shared" si="1"/>
      </x:c>
      <x:c r="I26" s="6" t="str">
        <x:f t="shared" si="2"/>
      </x:c>
      <x:c r="J26" s="4"/>
      <x:c r="K26" s="4"/>
      <x:c r="L26" s="4"/>
      <x:c r="M26" s="9" t="str">
        <x:f t="shared" si="3"/>
      </x:c>
      <x:c r="N26" s="4"/>
      <x:c r="O26" s="4"/>
      <x:c r="P26" s="4"/>
      <x:c r="Q26" s="4"/>
      <x:c r="R26" s="4"/>
      <x:c r="S26" s="4"/>
      <x:c r="T26" s="5"/>
      <x:c r="U26" s="35" t="str">
        <x:f t="shared" si="4"/>
      </x:c>
    </x:row>
    <x:row r="27" ht="46.650001525878906" customHeight="1">
      <x:c r="A27" s="8" t="str">
        <x:f t="shared" si="0"/>
      </x:c>
      <x:c r="B27" s="4"/>
      <x:c r="C27" s="4"/>
      <x:c r="D27" s="4"/>
      <x:c r="E27" s="5"/>
      <x:c r="F27" s="5"/>
      <x:c r="G27" s="5"/>
      <x:c r="H27" s="7" t="str">
        <x:f t="shared" si="1"/>
      </x:c>
      <x:c r="I27" s="6" t="str">
        <x:f t="shared" si="2"/>
      </x:c>
      <x:c r="J27" s="4"/>
      <x:c r="K27" s="4"/>
      <x:c r="L27" s="4"/>
      <x:c r="M27" s="9" t="str">
        <x:f t="shared" si="3"/>
      </x:c>
      <x:c r="N27" s="4"/>
      <x:c r="O27" s="4"/>
      <x:c r="P27" s="4"/>
      <x:c r="Q27" s="4"/>
      <x:c r="R27" s="4"/>
      <x:c r="S27" s="4"/>
      <x:c r="T27" s="5"/>
      <x:c r="U27" s="35" t="str">
        <x:f t="shared" si="4"/>
      </x:c>
    </x:row>
    <x:row r="28" ht="46.650001525878906" customHeight="1">
      <x:c r="A28" s="8" t="str">
        <x:f t="shared" si="0"/>
      </x:c>
      <x:c r="B28" s="4"/>
      <x:c r="C28" s="4"/>
      <x:c r="D28" s="4"/>
      <x:c r="E28" s="5"/>
      <x:c r="F28" s="5"/>
      <x:c r="G28" s="5"/>
      <x:c r="H28" s="7" t="str">
        <x:f t="shared" si="1"/>
      </x:c>
      <x:c r="I28" s="6" t="str">
        <x:f t="shared" si="2"/>
      </x:c>
      <x:c r="J28" s="4"/>
      <x:c r="K28" s="4"/>
      <x:c r="L28" s="4"/>
      <x:c r="M28" s="9" t="str">
        <x:f t="shared" si="3"/>
      </x:c>
      <x:c r="N28" s="4"/>
      <x:c r="O28" s="4"/>
      <x:c r="P28" s="4"/>
      <x:c r="Q28" s="4"/>
      <x:c r="R28" s="4"/>
      <x:c r="S28" s="4"/>
      <x:c r="T28" s="5"/>
      <x:c r="U28" s="35" t="str">
        <x:f t="shared" si="4"/>
      </x:c>
    </x:row>
    <x:row r="29" ht="46.650001525878906" customHeight="1">
      <x:c r="A29" s="8" t="str">
        <x:f t="shared" si="0"/>
      </x:c>
      <x:c r="B29" s="4"/>
      <x:c r="C29" s="4"/>
      <x:c r="D29" s="4"/>
      <x:c r="E29" s="5"/>
      <x:c r="F29" s="5"/>
      <x:c r="G29" s="5"/>
      <x:c r="H29" s="7" t="str">
        <x:f t="shared" si="1"/>
      </x:c>
      <x:c r="I29" s="6" t="str">
        <x:f t="shared" si="2"/>
      </x:c>
      <x:c r="J29" s="4"/>
      <x:c r="K29" s="4"/>
      <x:c r="L29" s="4"/>
      <x:c r="M29" s="9" t="str">
        <x:f t="shared" si="3"/>
      </x:c>
      <x:c r="N29" s="4"/>
      <x:c r="O29" s="4"/>
      <x:c r="P29" s="4"/>
      <x:c r="Q29" s="4"/>
      <x:c r="R29" s="4"/>
      <x:c r="S29" s="4"/>
      <x:c r="T29" s="5"/>
      <x:c r="U29" s="35" t="str">
        <x:f t="shared" si="4"/>
      </x:c>
    </x:row>
    <x:row r="30" ht="46.650001525878906" customHeight="1">
      <x:c r="A30" s="8" t="str">
        <x:f t="shared" si="0"/>
      </x:c>
      <x:c r="B30" s="4"/>
      <x:c r="C30" s="4"/>
      <x:c r="D30" s="4"/>
      <x:c r="E30" s="5"/>
      <x:c r="F30" s="5"/>
      <x:c r="G30" s="5"/>
      <x:c r="H30" s="7" t="str">
        <x:f t="shared" si="1"/>
      </x:c>
      <x:c r="I30" s="6" t="str">
        <x:f t="shared" si="2"/>
      </x:c>
      <x:c r="J30" s="4"/>
      <x:c r="K30" s="4"/>
      <x:c r="L30" s="4"/>
      <x:c r="M30" s="9" t="str">
        <x:f t="shared" si="3"/>
      </x:c>
      <x:c r="N30" s="4"/>
      <x:c r="O30" s="4"/>
      <x:c r="P30" s="4"/>
      <x:c r="Q30" s="4"/>
      <x:c r="R30" s="4"/>
      <x:c r="S30" s="4"/>
      <x:c r="T30" s="5"/>
      <x:c r="U30" s="35" t="str">
        <x:f t="shared" si="4"/>
      </x:c>
    </x:row>
    <x:row r="31" ht="46.650001525878906" customHeight="1">
      <x:c r="A31" s="8" t="str">
        <x:f t="shared" si="0"/>
      </x:c>
      <x:c r="B31" s="4"/>
      <x:c r="C31" s="4"/>
      <x:c r="D31" s="4"/>
      <x:c r="E31" s="5"/>
      <x:c r="F31" s="5"/>
      <x:c r="G31" s="5"/>
      <x:c r="H31" s="7" t="str">
        <x:f t="shared" si="1"/>
      </x:c>
      <x:c r="I31" s="6" t="str">
        <x:f t="shared" si="2"/>
      </x:c>
      <x:c r="J31" s="4"/>
      <x:c r="K31" s="4"/>
      <x:c r="L31" s="4"/>
      <x:c r="M31" s="9" t="str">
        <x:f t="shared" si="3"/>
      </x:c>
      <x:c r="N31" s="4"/>
      <x:c r="O31" s="4"/>
      <x:c r="P31" s="4"/>
      <x:c r="Q31" s="4"/>
      <x:c r="R31" s="4"/>
      <x:c r="S31" s="4"/>
      <x:c r="T31" s="5"/>
      <x:c r="U31" s="35" t="str">
        <x:f t="shared" si="4"/>
      </x:c>
    </x:row>
    <x:row r="32" ht="46.650001525878906" customHeight="1">
      <x:c r="A32" s="8" t="str">
        <x:f t="shared" si="0"/>
      </x:c>
      <x:c r="B32" s="4"/>
      <x:c r="C32" s="4"/>
      <x:c r="D32" s="4"/>
      <x:c r="E32" s="5"/>
      <x:c r="F32" s="5"/>
      <x:c r="G32" s="5"/>
      <x:c r="H32" s="7" t="str">
        <x:f t="shared" si="1"/>
      </x:c>
      <x:c r="I32" s="6" t="str">
        <x:f t="shared" si="2"/>
      </x:c>
      <x:c r="J32" s="4"/>
      <x:c r="K32" s="4"/>
      <x:c r="L32" s="4"/>
      <x:c r="M32" s="9" t="str">
        <x:f t="shared" si="3"/>
      </x:c>
      <x:c r="N32" s="4"/>
      <x:c r="O32" s="4"/>
      <x:c r="P32" s="4"/>
      <x:c r="Q32" s="4"/>
      <x:c r="R32" s="4"/>
      <x:c r="S32" s="4"/>
      <x:c r="T32" s="5"/>
      <x:c r="U32" s="35" t="str">
        <x:f t="shared" si="4"/>
      </x:c>
    </x:row>
    <x:row r="33" ht="46.650001525878906" customHeight="1">
      <x:c r="A33" s="8" t="str">
        <x:f t="shared" si="0"/>
      </x:c>
      <x:c r="B33" s="4"/>
      <x:c r="C33" s="4"/>
      <x:c r="D33" s="4"/>
      <x:c r="E33" s="5"/>
      <x:c r="F33" s="5"/>
      <x:c r="G33" s="5"/>
      <x:c r="H33" s="7" t="str">
        <x:f t="shared" si="1"/>
      </x:c>
      <x:c r="I33" s="6" t="str">
        <x:f t="shared" si="2"/>
      </x:c>
      <x:c r="J33" s="4"/>
      <x:c r="K33" s="4"/>
      <x:c r="L33" s="4"/>
      <x:c r="M33" s="9" t="str">
        <x:f t="shared" si="3"/>
      </x:c>
      <x:c r="N33" s="4"/>
      <x:c r="O33" s="4"/>
      <x:c r="P33" s="4"/>
      <x:c r="Q33" s="4"/>
      <x:c r="R33" s="4"/>
      <x:c r="S33" s="4"/>
      <x:c r="T33" s="5"/>
      <x:c r="U33" s="35" t="str">
        <x:f t="shared" si="4"/>
      </x:c>
    </x:row>
    <x:row r="34" ht="46.650001525878906" customHeight="1">
      <x:c r="A34" s="8" t="str">
        <x:f t="shared" si="0"/>
      </x:c>
      <x:c r="B34" s="4"/>
      <x:c r="C34" s="4"/>
      <x:c r="D34" s="4"/>
      <x:c r="E34" s="5"/>
      <x:c r="F34" s="5"/>
      <x:c r="G34" s="5"/>
      <x:c r="H34" s="7" t="str">
        <x:f t="shared" si="1"/>
      </x:c>
      <x:c r="I34" s="6" t="str">
        <x:f t="shared" si="2"/>
      </x:c>
      <x:c r="J34" s="4"/>
      <x:c r="K34" s="4"/>
      <x:c r="L34" s="4"/>
      <x:c r="M34" s="9" t="str">
        <x:f t="shared" si="3"/>
      </x:c>
      <x:c r="N34" s="4"/>
      <x:c r="O34" s="4"/>
      <x:c r="P34" s="4"/>
      <x:c r="Q34" s="4"/>
      <x:c r="R34" s="4"/>
      <x:c r="S34" s="4"/>
      <x:c r="T34" s="5"/>
      <x:c r="U34" s="35" t="str">
        <x:f t="shared" si="4"/>
      </x:c>
    </x:row>
    <x:row r="35" ht="46.650001525878906" customHeight="1">
      <x:c r="A35" s="8" t="str">
        <x:f t="shared" si="0"/>
      </x:c>
      <x:c r="B35" s="4"/>
      <x:c r="C35" s="4"/>
      <x:c r="D35" s="4"/>
      <x:c r="E35" s="5"/>
      <x:c r="F35" s="5"/>
      <x:c r="G35" s="5"/>
      <x:c r="H35" s="7" t="str">
        <x:f t="shared" si="1"/>
      </x:c>
      <x:c r="I35" s="6" t="str">
        <x:f t="shared" si="2"/>
      </x:c>
      <x:c r="J35" s="4"/>
      <x:c r="K35" s="4"/>
      <x:c r="L35" s="4"/>
      <x:c r="M35" s="9" t="str">
        <x:f t="shared" si="3"/>
      </x:c>
      <x:c r="N35" s="4"/>
      <x:c r="O35" s="4"/>
      <x:c r="P35" s="4"/>
      <x:c r="Q35" s="4"/>
      <x:c r="R35" s="4"/>
      <x:c r="S35" s="4"/>
      <x:c r="T35" s="5"/>
      <x:c r="U35" s="35" t="str">
        <x:f t="shared" si="4"/>
      </x:c>
    </x:row>
    <x:row r="36" ht="46.650001525878906" customHeight="1">
      <x:c r="A36" s="8" t="str">
        <x:f t="shared" si="0"/>
      </x:c>
      <x:c r="B36" s="4"/>
      <x:c r="C36" s="4"/>
      <x:c r="D36" s="4"/>
      <x:c r="E36" s="5"/>
      <x:c r="F36" s="5"/>
      <x:c r="G36" s="5"/>
      <x:c r="H36" s="7" t="str">
        <x:f t="shared" si="1"/>
      </x:c>
      <x:c r="I36" s="6" t="str">
        <x:f t="shared" si="2"/>
      </x:c>
      <x:c r="J36" s="4"/>
      <x:c r="K36" s="4"/>
      <x:c r="L36" s="4"/>
      <x:c r="M36" s="9" t="str">
        <x:f t="shared" si="3"/>
      </x:c>
      <x:c r="N36" s="4"/>
      <x:c r="O36" s="4"/>
      <x:c r="P36" s="4"/>
      <x:c r="Q36" s="4"/>
      <x:c r="R36" s="4"/>
      <x:c r="S36" s="4"/>
      <x:c r="T36" s="5"/>
      <x:c r="U36" s="35" t="str">
        <x:f t="shared" si="4"/>
      </x:c>
    </x:row>
    <x:row r="37" ht="46.650001525878906" customHeight="1">
      <x:c r="A37" s="8" t="str">
        <x:f t="shared" si="0"/>
      </x:c>
      <x:c r="B37" s="4"/>
      <x:c r="C37" s="4"/>
      <x:c r="D37" s="4"/>
      <x:c r="E37" s="5"/>
      <x:c r="F37" s="5"/>
      <x:c r="G37" s="5"/>
      <x:c r="H37" s="7" t="str">
        <x:f t="shared" si="1"/>
      </x:c>
      <x:c r="I37" s="6" t="str">
        <x:f t="shared" si="2"/>
      </x:c>
      <x:c r="J37" s="4"/>
      <x:c r="K37" s="4"/>
      <x:c r="L37" s="4"/>
      <x:c r="M37" s="9" t="str">
        <x:f t="shared" si="3"/>
      </x:c>
      <x:c r="N37" s="4"/>
      <x:c r="O37" s="4"/>
      <x:c r="P37" s="4"/>
      <x:c r="Q37" s="4"/>
      <x:c r="R37" s="4"/>
      <x:c r="S37" s="4"/>
      <x:c r="T37" s="5"/>
      <x:c r="U37" s="35" t="str">
        <x:f t="shared" si="4"/>
      </x:c>
    </x:row>
    <x:row r="38" ht="46.650001525878906" customHeight="1">
      <x:c r="A38" s="8" t="str">
        <x:f t="shared" si="0"/>
      </x:c>
      <x:c r="B38" s="4"/>
      <x:c r="C38" s="4"/>
      <x:c r="D38" s="4"/>
      <x:c r="E38" s="5"/>
      <x:c r="F38" s="5"/>
      <x:c r="G38" s="5"/>
      <x:c r="H38" s="7" t="str">
        <x:f t="shared" si="1"/>
      </x:c>
      <x:c r="I38" s="6" t="str">
        <x:f t="shared" si="2"/>
      </x:c>
      <x:c r="J38" s="4"/>
      <x:c r="K38" s="4"/>
      <x:c r="L38" s="4"/>
      <x:c r="M38" s="9" t="str">
        <x:f t="shared" si="3"/>
      </x:c>
      <x:c r="N38" s="4"/>
      <x:c r="O38" s="4"/>
      <x:c r="P38" s="4"/>
      <x:c r="Q38" s="4"/>
      <x:c r="R38" s="4"/>
      <x:c r="S38" s="4"/>
      <x:c r="T38" s="5"/>
      <x:c r="U38" s="35" t="str">
        <x:f t="shared" si="4"/>
      </x:c>
    </x:row>
    <x:row r="39" ht="46.650001525878906" customHeight="1">
      <x:c r="A39" s="8" t="str">
        <x:f t="shared" si="0"/>
      </x:c>
      <x:c r="B39" s="4"/>
      <x:c r="C39" s="4"/>
      <x:c r="D39" s="4"/>
      <x:c r="E39" s="5"/>
      <x:c r="F39" s="5"/>
      <x:c r="G39" s="5"/>
      <x:c r="H39" s="7" t="str">
        <x:f t="shared" si="1"/>
      </x:c>
      <x:c r="I39" s="6" t="str">
        <x:f t="shared" si="2"/>
      </x:c>
      <x:c r="J39" s="4"/>
      <x:c r="K39" s="4"/>
      <x:c r="L39" s="4"/>
      <x:c r="M39" s="9" t="str">
        <x:f t="shared" si="3"/>
      </x:c>
      <x:c r="N39" s="4"/>
      <x:c r="O39" s="4"/>
      <x:c r="P39" s="4"/>
      <x:c r="Q39" s="4"/>
      <x:c r="R39" s="4"/>
      <x:c r="S39" s="4"/>
      <x:c r="T39" s="5"/>
      <x:c r="U39" s="35" t="str">
        <x:f t="shared" si="4"/>
      </x:c>
    </x:row>
    <x:row r="40" ht="46.650001525878906" customHeight="1">
      <x:c r="A40" s="8" t="str">
        <x:f t="shared" si="0"/>
      </x:c>
      <x:c r="B40" s="4"/>
      <x:c r="C40" s="4"/>
      <x:c r="D40" s="4"/>
      <x:c r="E40" s="5"/>
      <x:c r="F40" s="5"/>
      <x:c r="G40" s="5"/>
      <x:c r="H40" s="7" t="str">
        <x:f t="shared" si="1"/>
      </x:c>
      <x:c r="I40" s="6" t="str">
        <x:f t="shared" si="2"/>
      </x:c>
      <x:c r="J40" s="4"/>
      <x:c r="K40" s="4"/>
      <x:c r="L40" s="4"/>
      <x:c r="M40" s="9" t="str">
        <x:f t="shared" si="3"/>
      </x:c>
      <x:c r="N40" s="4"/>
      <x:c r="O40" s="4"/>
      <x:c r="P40" s="4"/>
      <x:c r="Q40" s="4"/>
      <x:c r="R40" s="4"/>
      <x:c r="S40" s="4"/>
      <x:c r="T40" s="5"/>
      <x:c r="U40" s="35" t="str">
        <x:f t="shared" si="4"/>
      </x:c>
    </x:row>
    <x:row r="41" ht="46.650001525878906" customHeight="1">
      <x:c r="A41" s="8" t="str">
        <x:f t="shared" si="0"/>
      </x:c>
      <x:c r="B41" s="4"/>
      <x:c r="C41" s="4"/>
      <x:c r="D41" s="4"/>
      <x:c r="E41" s="5"/>
      <x:c r="F41" s="5"/>
      <x:c r="G41" s="5"/>
      <x:c r="H41" s="7" t="str">
        <x:f t="shared" si="1"/>
      </x:c>
      <x:c r="I41" s="6" t="str">
        <x:f t="shared" si="2"/>
      </x:c>
      <x:c r="J41" s="4"/>
      <x:c r="K41" s="4"/>
      <x:c r="L41" s="4"/>
      <x:c r="M41" s="9" t="str">
        <x:f t="shared" si="3"/>
      </x:c>
      <x:c r="N41" s="4"/>
      <x:c r="O41" s="4"/>
      <x:c r="P41" s="4"/>
      <x:c r="Q41" s="4"/>
      <x:c r="R41" s="4"/>
      <x:c r="S41" s="4"/>
      <x:c r="T41" s="5"/>
      <x:c r="U41" s="35" t="str">
        <x:f t="shared" si="4"/>
      </x:c>
    </x:row>
    <x:row r="42" ht="46.650001525878906" customHeight="1">
      <x:c r="A42" s="8" t="str">
        <x:f t="shared" si="0"/>
      </x:c>
      <x:c r="B42" s="4"/>
      <x:c r="C42" s="4"/>
      <x:c r="D42" s="4"/>
      <x:c r="E42" s="5"/>
      <x:c r="F42" s="5"/>
      <x:c r="G42" s="5"/>
      <x:c r="H42" s="7" t="str">
        <x:f t="shared" si="1"/>
      </x:c>
      <x:c r="I42" s="6" t="str">
        <x:f t="shared" si="2"/>
      </x:c>
      <x:c r="J42" s="4"/>
      <x:c r="K42" s="4"/>
      <x:c r="L42" s="4"/>
      <x:c r="M42" s="9" t="str">
        <x:f t="shared" si="3"/>
      </x:c>
      <x:c r="N42" s="4"/>
      <x:c r="O42" s="4"/>
      <x:c r="P42" s="4"/>
      <x:c r="Q42" s="4"/>
      <x:c r="R42" s="4"/>
      <x:c r="S42" s="4"/>
      <x:c r="T42" s="5"/>
      <x:c r="U42" s="35" t="str">
        <x:f t="shared" si="4"/>
      </x:c>
    </x:row>
    <x:row r="43" ht="46.650001525878906" customHeight="1">
      <x:c r="A43" s="8" t="str">
        <x:f t="shared" si="0"/>
      </x:c>
      <x:c r="B43" s="4"/>
      <x:c r="C43" s="4"/>
      <x:c r="D43" s="4"/>
      <x:c r="E43" s="5"/>
      <x:c r="F43" s="5"/>
      <x:c r="G43" s="5"/>
      <x:c r="H43" s="7" t="str">
        <x:f t="shared" si="1"/>
      </x:c>
      <x:c r="I43" s="6" t="str">
        <x:f t="shared" si="2"/>
      </x:c>
      <x:c r="J43" s="4"/>
      <x:c r="K43" s="4"/>
      <x:c r="L43" s="4"/>
      <x:c r="M43" s="9" t="str">
        <x:f t="shared" si="3"/>
      </x:c>
      <x:c r="N43" s="4"/>
      <x:c r="O43" s="4"/>
      <x:c r="P43" s="4"/>
      <x:c r="Q43" s="4"/>
      <x:c r="R43" s="4"/>
      <x:c r="S43" s="4"/>
      <x:c r="T43" s="5"/>
      <x:c r="U43" s="35" t="str">
        <x:f t="shared" si="4"/>
      </x:c>
    </x:row>
    <x:row r="44" ht="46.650001525878906" customHeight="1">
      <x:c r="A44" s="8" t="str">
        <x:f t="shared" si="0"/>
      </x:c>
      <x:c r="B44" s="4"/>
      <x:c r="C44" s="4"/>
      <x:c r="D44" s="4"/>
      <x:c r="E44" s="5"/>
      <x:c r="F44" s="5"/>
      <x:c r="G44" s="5"/>
      <x:c r="H44" s="7" t="str">
        <x:f t="shared" si="1"/>
      </x:c>
      <x:c r="I44" s="6" t="str">
        <x:f t="shared" si="2"/>
      </x:c>
      <x:c r="J44" s="4"/>
      <x:c r="K44" s="4"/>
      <x:c r="L44" s="4"/>
      <x:c r="M44" s="9" t="str">
        <x:f t="shared" si="3"/>
      </x:c>
      <x:c r="N44" s="4"/>
      <x:c r="O44" s="4"/>
      <x:c r="P44" s="4"/>
      <x:c r="Q44" s="4"/>
      <x:c r="R44" s="4"/>
      <x:c r="S44" s="4"/>
      <x:c r="T44" s="5"/>
      <x:c r="U44" s="35" t="str">
        <x:f t="shared" si="4"/>
      </x:c>
    </x:row>
    <x:row r="45" ht="46.650001525878906" customHeight="1">
      <x:c r="A45" s="8" t="str">
        <x:f t="shared" si="0"/>
      </x:c>
      <x:c r="B45" s="4"/>
      <x:c r="C45" s="4"/>
      <x:c r="D45" s="4"/>
      <x:c r="E45" s="5"/>
      <x:c r="F45" s="5"/>
      <x:c r="G45" s="5"/>
      <x:c r="H45" s="7" t="str">
        <x:f t="shared" si="1"/>
      </x:c>
      <x:c r="I45" s="6" t="str">
        <x:f t="shared" si="2"/>
      </x:c>
      <x:c r="J45" s="4"/>
      <x:c r="K45" s="4"/>
      <x:c r="L45" s="4"/>
      <x:c r="M45" s="9" t="str">
        <x:f t="shared" si="3"/>
      </x:c>
      <x:c r="N45" s="4"/>
      <x:c r="O45" s="4"/>
      <x:c r="P45" s="4"/>
      <x:c r="Q45" s="4"/>
      <x:c r="R45" s="4"/>
      <x:c r="S45" s="4"/>
      <x:c r="T45" s="5"/>
      <x:c r="U45" s="35" t="str">
        <x:f t="shared" si="4"/>
      </x:c>
    </x:row>
    <x:row r="46" ht="46.650001525878906" customHeight="1">
      <x:c r="A46" s="8" t="str">
        <x:f t="shared" si="0"/>
      </x:c>
      <x:c r="B46" s="4"/>
      <x:c r="C46" s="4"/>
      <x:c r="D46" s="4"/>
      <x:c r="E46" s="5"/>
      <x:c r="F46" s="5"/>
      <x:c r="G46" s="5"/>
      <x:c r="H46" s="7" t="str">
        <x:f t="shared" si="1"/>
      </x:c>
      <x:c r="I46" s="6" t="str">
        <x:f t="shared" si="2"/>
      </x:c>
      <x:c r="J46" s="4"/>
      <x:c r="K46" s="4"/>
      <x:c r="L46" s="4"/>
      <x:c r="M46" s="9" t="str">
        <x:f t="shared" si="3"/>
      </x:c>
      <x:c r="N46" s="4"/>
      <x:c r="O46" s="4"/>
      <x:c r="P46" s="4"/>
      <x:c r="Q46" s="4"/>
      <x:c r="R46" s="4"/>
      <x:c r="S46" s="4"/>
      <x:c r="T46" s="5"/>
      <x:c r="U46" s="35" t="str">
        <x:f t="shared" si="4"/>
      </x:c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6">
    <x:cfRule type="expression" dxfId="31" priority="6">
      <x:formula>AND($C9&lt;&gt;"",$M9="")</x:formula>
    </x:cfRule>
  </x:conditionalFormatting>
  <x:conditionalFormatting sqref="A9:T500">
    <x:cfRule type="expression" dxfId="30" priority="7">
      <x:formula>$B9="Merchant"</x:formula>
    </x:cfRule>
    <x:cfRule type="expression" dxfId="29" priority="8">
      <x:formula>$B9="Remittance"</x:formula>
    </x:cfRule>
    <x:cfRule type="expression" dxfId="28" priority="15">
      <x:formula>AND($C9&lt;&gt;"",$M9="")</x:formula>
    </x:cfRule>
  </x:conditionalFormatting>
  <x:conditionalFormatting sqref="B9:B500">
    <x:cfRule type="expression" dxfId="27" priority="9">
      <x:formula>B9="Remittance"</x:formula>
    </x:cfRule>
  </x:conditionalFormatting>
  <x:conditionalFormatting sqref="I9:I46">
    <x:cfRule type="expression" dxfId="26" priority="1">
      <x:formula>I9="Active"</x:formula>
    </x:cfRule>
    <x:cfRule type="expression" dxfId="25" priority="2">
      <x:formula>I9="End Date Not Stated"</x:formula>
    </x:cfRule>
    <x:cfRule type="expression" dxfId="24" priority="3">
      <x:formula>I9="Expiring ≤7 Days"</x:formula>
    </x:cfRule>
    <x:cfRule type="expression" dxfId="23" priority="4">
      <x:formula>I9="Expiring 8–30 Days"</x:formula>
    </x:cfRule>
    <x:cfRule type="expression" dxfId="22" priority="5">
      <x:formula>I9="Expired"</x:formula>
    </x:cfRule>
  </x:conditionalFormatting>
  <x:conditionalFormatting sqref="I9:I500">
    <x:cfRule type="expression" dxfId="21" priority="10">
      <x:formula>I9="Active"</x:formula>
    </x:cfRule>
    <x:cfRule type="expression" dxfId="20" priority="11">
      <x:formula>I9="End Date Not Stated"</x:formula>
    </x:cfRule>
    <x:cfRule type="expression" dxfId="19" priority="12">
      <x:formula>I9="Expiring ≤7 Days"</x:formula>
    </x:cfRule>
    <x:cfRule type="expression" dxfId="18" priority="13">
      <x:formula>I9="Expiring 8–30 Days"</x:formula>
    </x:cfRule>
    <x:cfRule type="expression" dxfId="17" priority="14">
      <x:formula>I9="Expired"</x:formula>
    </x:cfRule>
  </x:conditionalFormatting>
  <x:conditionalFormatting sqref="U9:U46">
    <x:cfRule type="expression" dxfId="16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f047b21d434b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7" customWidth="1"/>
    <x:col min="3" max="3" width="33" customWidth="1"/>
    <x:col min="4" max="4" width="43" customWidth="1"/>
    <x:col min="5" max="8" width="13" customWidth="1"/>
    <x:col min="9" max="9" width="20" customWidth="1"/>
    <x:col min="10" max="10" width="29" customWidth="1"/>
    <x:col min="11" max="11" width="38" customWidth="1"/>
    <x:col min="12" max="12" width="35" customWidth="1"/>
    <x:col min="13" max="14" width="48" customWidth="1"/>
    <x:col min="15" max="15" width="44" customWidth="1"/>
    <x:col min="16" max="16" width="38" customWidth="1"/>
    <x:col min="17" max="17" width="48" customWidth="1"/>
    <x:col min="18" max="18" width="42" customWidth="1"/>
    <x:col min="19" max="19" width="50" customWidth="1"/>
    <x:col min="20" max="20" width="13" customWidth="1"/>
    <x:col min="21" max="21" width="30" customWidth="1"/>
  </x:cols>
  <x:sheetData>
    <x:row r="1" ht="22.649999618530273" customHeight="1">
      <x:c r="A1" s="52" t="s">
        <x:v>287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</x:row>
    <x:row r="2" ht="21.399999618530273" customHeight="1">
      <x:c r="A2" s="56" t="str">
        <x:v>Active approved campaigns only. Expired campaigns are excluded. Merchant offers are shown as a count only.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 t="s">
        <x:v>3</x:v>
      </x:c>
      <x:c r="N2" s="57"/>
      <x:c r="O2" s="57"/>
      <x:c r="P2" s="57"/>
      <x:c r="Q2" s="57"/>
      <x:c r="R2" s="57"/>
      <x:c r="S2" s="57"/>
      <x:c r="T2" s="57"/>
      <x:c r="U2" s="57"/>
    </x:row>
    <x:row r="4">
      <x:c r="A4" s="41" t="str">
        <x:v>Active Campaigns</x:v>
      </x:c>
      <x:c r="B4" s="41"/>
      <x:c r="C4" s="41"/>
      <x:c r="D4" s="41" t="str">
        <x:v>End Date Not Stated</x:v>
      </x:c>
      <x:c r="E4" s="41" t="str">
        <x:v>End Date Not Stated</x:v>
      </x:c>
      <x:c r="F4" s="41"/>
      <x:c r="G4" s="41" t="str">
        <x:v>Remittance Campaigns</x:v>
      </x:c>
      <x:c r="H4" s="41"/>
      <x:c r="I4" s="43" t="str">
        <x:v>Remittance Campaigns</x:v>
      </x:c>
      <x:c r="J4" s="43" t="str">
        <x:v>Expiring ≤30d</x:v>
      </x:c>
      <x:c r="K4" s="43"/>
      <x:c r="L4" s="43"/>
      <x:c r="M4" s="44" t="str">
        <x:v>Merchant Offers (Count Only): 0</x:v>
      </x:c>
      <x:c r="N4" s="44"/>
      <x:c r="O4" s="44"/>
      <x:c r="P4" s="44"/>
      <x:c r="Q4" s="41" t="str">
        <x:v>Expiring ≤30d</x:v>
      </x:c>
      <x:c r="R4" s="41"/>
      <x:c r="S4" s="41"/>
      <x:c r="T4" s="41"/>
    </x:row>
    <x:row r="5" ht="23">
      <x:c r="A5" s="53" t="n">
        <x:f>COUNTIFS('alinma pay'!$C$9:$C$500,"&lt;&gt;",'alinma pay'!$M$9:$M$500,"&lt;&gt;")</x:f>
        <x:v>5</x:v>
      </x:c>
      <x:c r="B5" s="53"/>
      <x:c r="C5" s="53"/>
      <x:c r="D5" s="53" t="n">
        <x:f>COUNTIFS('alinma pay'!$C$9:$C$500,"&lt;&gt;",'alinma pay'!$I$9:$I$500,"End Date Not Stated")</x:f>
        <x:v>4</x:v>
      </x:c>
      <x:c r="E5" s="53" t="n">
        <x:f>COUNTIFS('alinma pay'!$C$9:$C$500,"&lt;&gt;",'alinma pay'!$I$9:$I$500,"End Date Not Stated")</x:f>
        <x:v>4</x:v>
      </x:c>
      <x:c r="F5" s="53"/>
      <x:c r="G5" s="53" t="n">
        <x:f>COUNTIFS('alinma pay'!$C$9:$C$500,"&lt;&gt;",'alinma pay'!$B$9:$B$500,"Remittance")</x:f>
        <x:v>2</x:v>
      </x:c>
      <x:c r="H5" s="53"/>
      <x:c r="I5" s="54" t="n">
        <x:f>COUNTIFS('alinma pay'!$C$9:$C$500,"&lt;&gt;",'alinma pay'!$B$9:$B$500,"Remittance")</x:f>
        <x:v>2</x:v>
      </x:c>
      <x:c r="J5" s="54" t="n">
        <x:f>COUNTIFS('alinma pay'!$C$9:$C$500,"&lt;&gt;",'alinma pay'!$I$9:$I$500,"Expiring ≤7 Days")+COUNTIFS('alinma pay'!$C$9:$C$500,"&lt;&gt;",'alinma pay'!$I$9:$I$500,"Expiring 8–30 Days")</x:f>
        <x:v>0</x:v>
      </x:c>
      <x:c r="K5" s="54"/>
      <x:c r="L5" s="54"/>
      <x:c r="M5" s="55" t="n">
        <x:v>0</x:v>
      </x:c>
      <x:c r="N5" s="55"/>
      <x:c r="O5" s="55"/>
      <x:c r="P5" s="55"/>
      <x:c r="Q5" s="53" t="n">
        <x:f>COUNTIFS('alinma pay'!$C$9:$C$500,"&lt;&gt;",'alinma pay'!$I$9:$I$500,"Expiring ≤7 Days")+COUNTIFS('alinma pay'!$C$9:$C$500,"&lt;&gt;",'alinma pay'!$I$9:$I$500,"Expiring 8–30 Days")</x:f>
        <x:v>0</x:v>
      </x:c>
      <x:c r="R5" s="53"/>
      <x:c r="S5" s="53"/>
      <x:c r="T5" s="53"/>
    </x:row>
    <x:row r="8" ht="30.649999618530273" customHeight="1">
      <x:c r="A8" s="3" t="s">
        <x:v>4</x:v>
      </x:c>
      <x:c r="B8" s="3" t="s">
        <x:v>5</x:v>
      </x:c>
      <x:c r="C8" s="3" t="s">
        <x:v>6</x:v>
      </x:c>
      <x:c r="D8" s="3" t="s">
        <x:v>7</x:v>
      </x:c>
      <x:c r="E8" s="3" t="s">
        <x:v>8</x:v>
      </x:c>
      <x:c r="F8" s="3" t="s">
        <x:v>9</x:v>
      </x:c>
      <x:c r="G8" s="3" t="s">
        <x:v>10</x:v>
      </x:c>
      <x:c r="H8" s="3" t="s">
        <x:v>11</x:v>
      </x:c>
      <x:c r="I8" s="3" t="s">
        <x:v>12</x:v>
      </x:c>
      <x:c r="J8" s="3" t="s">
        <x:v>13</x:v>
      </x:c>
      <x:c r="K8" s="3" t="s">
        <x:v>14</x:v>
      </x:c>
      <x:c r="L8" s="3" t="s">
        <x:v>15</x:v>
      </x:c>
      <x:c r="M8" s="3" t="s">
        <x:v>16</x:v>
      </x:c>
      <x:c r="N8" s="3" t="s">
        <x:v>17</x:v>
      </x:c>
      <x:c r="O8" s="3" t="s">
        <x:v>18</x:v>
      </x:c>
      <x:c r="P8" s="3" t="s">
        <x:v>19</x:v>
      </x:c>
      <x:c r="Q8" s="3" t="s">
        <x:v>20</x:v>
      </x:c>
      <x:c r="R8" s="3" t="s">
        <x:v>21</x:v>
      </x:c>
      <x:c r="S8" s="3" t="s">
        <x:v>22</x:v>
      </x:c>
      <x:c r="T8" s="3" t="str">
        <x:v>Social Post Count</x:v>
      </x:c>
      <x:c r="U8" s="34" t="str">
        <x:v>Published Platforms</x:v>
      </x:c>
    </x:row>
    <x:row r="9" ht="46.650001525878906" customHeight="1">
      <x:c r="A9" s="8" t="n">
        <x:f t="shared" ref="A9:A42" si="0">IF(C9="","",ROW()-8)</x:f>
        <x:v>1</x:v>
      </x:c>
      <x:c r="B9" s="4" t="s">
        <x:v>23</x:v>
      </x:c>
      <x:c r="C9" s="4" t="s">
        <x:v>288</x:v>
      </x:c>
      <x:c r="D9" s="4" t="s">
        <x:v>289</x:v>
      </x:c>
      <x:c r="E9" s="5"/>
      <x:c r="F9" s="5">
        <x:v>46210</x:v>
      </x:c>
      <x:c r="G9" s="5">
        <x:v>46241</x:v>
      </x:c>
      <x:c r="H9" s="7" t="n">
        <x:f t="shared" ref="H9:H42" si="1">IF(OR(C9="",G9=""),"",G9-TODAY())</x:f>
        <x:v>-19</x:v>
      </x:c>
      <x:c r="I9" s="6" t="str">
        <x:f t="shared" ref="I9:I42" si="2">IF(C9="","",IF(G9="","End Date Not Stated",IF(G9&lt;TODAY(),"Expired",IF(G9&lt;=TODAY()+7,"Expiring ≤7 Days",IF(G9&lt;=TODAY()+30,"Expiring 8–30 Days","Active")))))</x:f>
        <x:v>Expired</x:v>
      </x:c>
      <x:c r="J9" s="4" t="s">
        <x:v>290</x:v>
      </x:c>
      <x:c r="K9" s="4" t="s">
        <x:v>291</x:v>
      </x:c>
      <x:c r="L9" s="4" t="s">
        <x:v>292</x:v>
      </x:c>
      <x:c r="M9" s="9" t="str">
        <x:f t="shared" ref="M9:M42" si="3">IF(C9="","",IF(N9&lt;&gt;"",N9,IF(O9&lt;&gt;"",O9,IF(P9&lt;&gt;"",P9,IF(Q9&lt;&gt;"",Q9,IF(R9&lt;&gt;"",R9,""))))))</x:f>
        <x:v>https://www.instagram.com/alinmapay/p/CC4JUxohSuN/</x:v>
      </x:c>
      <x:c r="N9" s="4"/>
      <x:c r="O9" s="63" t="s">
        <x:v>293</x:v>
      </x:c>
      <x:c r="P9" s="4" t="s">
        <x:v>294</x:v>
      </x:c>
      <x:c r="Q9" s="63" t="s">
        <x:v>295</x:v>
      </x:c>
      <x:c r="R9" s="4"/>
      <x:c r="S9" s="4" t="s">
        <x:v>296</x:v>
      </x:c>
      <x:c r="T9" s="5" t="n">
        <x:v>46240</x:v>
      </x:c>
      <x:c r="U9" s="35" t="str">
        <x:f t="shared" ref="U9:U42" si="4">IF(C9="","",IF(COUNTA(O9:R9)=0,"No direct social post verified",IF(O9&lt;&gt;"","Instagram","")&amp;IF(AND(O9&lt;&gt;"",OR(P9&lt;&gt;"",Q9&lt;&gt;"",R9&lt;&gt;"")),", ","")&amp;IF(P9&lt;&gt;"","X","")&amp;IF(AND(P9&lt;&gt;"",OR(Q9&lt;&gt;"",R9&lt;&gt;"")),", ","")&amp;IF(Q9&lt;&gt;"","Facebook","")&amp;IF(AND(Q9&lt;&gt;"",R9&lt;&gt;""),", ","")&amp;IF(R9&lt;&gt;"","TikTok","")))</x:f>
        <x:v>Instagram, X, Facebook</x:v>
      </x:c>
    </x:row>
    <x:row r="10" ht="46.650001525878906" customHeight="1">
      <x:c r="A10" s="8" t="n">
        <x:f t="shared" si="0">IF(C10="","",ROW()-8)</x:f>
        <x:v>2</x:v>
      </x:c>
      <x:c r="B10" s="4" t="s">
        <x:v>23</x:v>
      </x:c>
      <x:c r="C10" s="4" t="s">
        <x:v>297</x:v>
      </x:c>
      <x:c r="D10" s="4" t="str">
        <x:v>Use alinma pay Cashback Cards internationally with no foreign transaction fees, no fees on the first two international cash withdrawals, and cashback on eligible purchases.</x:v>
      </x:c>
      <x:c r="E10" s="5"/>
      <x:c r="F10" s="5"/>
      <x:c r="G10" s="5"/>
      <x:c r="H10" s="7" t="str">
        <x:f t="shared" si="1">IF(OR(C10="",G10=""),"",G10-TODAY())</x:f>
      </x:c>
      <x:c r="I10" s="6" t="str">
        <x:f t="shared" si="2">IF(C10="","",IF(G10="","End Date Not Stated",IF(G10&lt;TODAY(),"Expired",IF(G10&lt;=TODAY()+7,"Expiring ≤7 Days",IF(G10&lt;=TODAY()+30,"Expiring 8–30 Days","Active")))))</x:f>
        <x:v>End Date Not Stated</x:v>
      </x:c>
      <x:c r="J10" s="4" t="str">
        <x:v>International card purchases and overseas ATM withdrawals</x:v>
      </x:c>
      <x:c r="K10" s="4" t="str">
        <x:v>Zero international transaction fees, first two international cash withdrawals free, plus cashback on eligible purchases</x:v>
      </x:c>
      <x:c r="L10" s="4" t="s">
        <x:v>298</x:v>
      </x:c>
      <x:c r="M10" s="9" t="str">
        <x:f t="shared" si="3">IF(C10="","",IF(N10&lt;&gt;"",N10,IF(O10&lt;&gt;"",O10,IF(P10&lt;&gt;"",P10,IF(Q10&lt;&gt;"",Q10,IF(R10&lt;&gt;"",R10,""))))))</x:f>
        <x:v>https://www.facebook.com/AlinmaPaySA/posts/%EF%B8%8F-fees-gonetravel-anywhere-and-use-your-alinmapay-cashback-cards-without-worryin/1619335260194305/</x:v>
      </x:c>
      <x:c r="N10" s="4"/>
      <x:c r="O10" s="4"/>
      <x:c r="P10" s="4"/>
      <x:c r="Q10" s="63" t="s">
        <x:v>299</x:v>
      </x:c>
      <x:c r="R10" s="4"/>
      <x:c r="S10" s="4" t="str">
        <x:v>Current summer messaging confirms no international transaction fees, no fees on the first two international cash withdrawals, and cashback on eligible purchases. No campaign end date is stated.</x:v>
      </x:c>
      <x:c r="T10" s="5" t="n">
        <x:v>46240</x:v>
      </x:c>
      <x:c r="U10" s="35" t="str">
        <x:f t="shared" si="4">IF(C10="","",IF(COUNTA(O10:R10)=0,"No direct social post verified",IF(O10&lt;&gt;"","Instagram","")&amp;IF(AND(O10&lt;&gt;"",OR(P10&lt;&gt;"",Q10&lt;&gt;"",R10&lt;&gt;"")),", ","")&amp;IF(P10&lt;&gt;"","X","")&amp;IF(AND(P10&lt;&gt;"",OR(Q10&lt;&gt;"",R10&lt;&gt;"")),", ","")&amp;IF(Q10&lt;&gt;"","Facebook","")&amp;IF(AND(Q10&lt;&gt;"",R10&lt;&gt;""),", ","")&amp;IF(R10&lt;&gt;"","TikTok","")))</x:f>
        <x:v>Facebook</x:v>
      </x:c>
    </x:row>
    <x:row r="11" ht="46.650001525878906" customHeight="1">
      <x:c r="A11" s="8" t="n">
        <x:f t="shared" si="0">IF(C11="","",ROW()-8)</x:f>
        <x:v>3</x:v>
      </x:c>
      <x:c r="B11" s="4" t="s">
        <x:v>141</x:v>
      </x:c>
      <x:c r="C11" s="4" t="s">
        <x:v>300</x:v>
      </x:c>
      <x:c r="D11" s="4" t="s">
        <x:v>301</x:v>
      </x:c>
      <x:c r="E11" s="5"/>
      <x:c r="F11" s="5"/>
      <x:c r="G11" s="5"/>
      <x:c r="H11" s="7" t="str">
        <x:f t="shared" si="1">IF(OR(C11="",G11=""),"",G11-TODAY())</x:f>
      </x:c>
      <x:c r="I11" s="6" t="str">
        <x:f t="shared" si="2">IF(C11="","",IF(G11="","End Date Not Stated",IF(G11&lt;TODAY(),"Expired",IF(G11&lt;=TODAY()+7,"Expiring ≤7 Days",IF(G11&lt;=TODAY()+30,"Expiring 8–30 Days","Active")))))</x:f>
        <x:v>End Date Not Stated</x:v>
      </x:c>
      <x:c r="J11" s="4" t="s">
        <x:v>302</x:v>
      </x:c>
      <x:c r="K11" s="4" t="s">
        <x:v>303</x:v>
      </x:c>
      <x:c r="L11" s="4" t="s">
        <x:v>304</x:v>
      </x:c>
      <x:c r="M11" s="9" t="str">
        <x:f t="shared" si="3">IF(C11="","",IF(N11&lt;&gt;"",N11,IF(O11&lt;&gt;"",O11,IF(P11&lt;&gt;"",P11,IF(Q11&lt;&gt;"",Q11,IF(R11&lt;&gt;"",R11,""))))))</x:f>
        <x:v>https://www.instagram.com/alinmapay/p/CC_U-JDB6yh/</x:v>
      </x:c>
      <x:c r="N11" s="4"/>
      <x:c r="O11" s="63" t="s">
        <x:v>305</x:v>
      </x:c>
      <x:c r="P11" s="4" t="s">
        <x:v>306</x:v>
      </x:c>
      <x:c r="Q11" s="63" t="s">
        <x:v>307</x:v>
      </x:c>
      <x:c r="R11" s="4"/>
      <x:c r="S11" s="4" t="s">
        <x:v>308</x:v>
      </x:c>
      <x:c r="T11" s="5" t="n">
        <x:v>46240</x:v>
      </x:c>
      <x:c r="U11" s="35" t="str">
        <x:f t="shared" si="4">IF(C11="","",IF(COUNTA(O11:R11)=0,"No direct social post verified",IF(O11&lt;&gt;"","Instagram","")&amp;IF(AND(O11&lt;&gt;"",OR(P11&lt;&gt;"",Q11&lt;&gt;"",R11&lt;&gt;"")),", ","")&amp;IF(P11&lt;&gt;"","X","")&amp;IF(AND(P11&lt;&gt;"",OR(Q11&lt;&gt;"",R11&lt;&gt;"")),", ","")&amp;IF(Q11&lt;&gt;"","Facebook","")&amp;IF(AND(Q11&lt;&gt;"",R11&lt;&gt;""),", ","")&amp;IF(R11&lt;&gt;"","TikTok","")))</x:f>
        <x:v>Instagram, X, Facebook</x:v>
      </x:c>
    </x:row>
    <x:row r="12" ht="46.650001525878906" customHeight="1">
      <x:c r="A12" s="8" t="n">
        <x:f t="shared" si="0">IF(C12="","",ROW()-8)</x:f>
        <x:v>4</x:v>
      </x:c>
      <x:c r="B12" s="4" t="s">
        <x:v>141</x:v>
      </x:c>
      <x:c r="C12" s="4" t="s">
        <x:v>309</x:v>
      </x:c>
      <x:c r="D12" s="4" t="s">
        <x:v>310</x:v>
      </x:c>
      <x:c r="E12" s="5">
        <x:v>46068</x:v>
      </x:c>
      <x:c r="F12" s="5"/>
      <x:c r="G12" s="5"/>
      <x:c r="H12" s="7" t="str">
        <x:f t="shared" si="1">IF(OR(C12="",G12=""),"",G12-TODAY())</x:f>
      </x:c>
      <x:c r="I12" s="6" t="str">
        <x:f t="shared" si="2">IF(C12="","",IF(G12="","End Date Not Stated",IF(G12&lt;TODAY(),"Expired",IF(G12&lt;=TODAY()+7,"Expiring ≤7 Days",IF(G12&lt;=TODAY()+30,"Expiring 8–30 Days","Active")))))</x:f>
        <x:v>End Date Not Stated</x:v>
      </x:c>
      <x:c r="J12" s="4" t="s">
        <x:v>311</x:v>
      </x:c>
      <x:c r="K12" s="4" t="s">
        <x:v>312</x:v>
      </x:c>
      <x:c r="L12" s="4" t="s">
        <x:v>313</x:v>
      </x:c>
      <x:c r="M12" s="9" t="str">
        <x:f t="shared" si="3">IF(C12="","",IF(N12&lt;&gt;"",N12,IF(O12&lt;&gt;"",O12,IF(P12&lt;&gt;"",P12,IF(Q12&lt;&gt;"",Q12,IF(R12&lt;&gt;"",R12,""))))))</x:f>
        <x:v>https://www.facebook.com/AlinmaPaySA/videos/zero-fees-fast-transfers-to-india/873682655502395/</x:v>
      </x:c>
      <x:c r="N12" s="4"/>
      <x:c r="O12" s="4"/>
      <x:c r="P12" s="4"/>
      <x:c r="Q12" s="63" t="s">
        <x:v>314</x:v>
      </x:c>
      <x:c r="R12" s="4"/>
      <x:c r="S12" s="4" t="s">
        <x:v>170</x:v>
      </x:c>
      <x:c r="T12" s="5" t="n">
        <x:v>46240</x:v>
      </x:c>
      <x:c r="U12" s="35" t="str">
        <x:f t="shared" si="4">IF(C12="","",IF(COUNTA(O12:R12)=0,"No direct social post verified",IF(O12&lt;&gt;"","Instagram","")&amp;IF(AND(O12&lt;&gt;"",OR(P12&lt;&gt;"",Q12&lt;&gt;"",R12&lt;&gt;"")),", ","")&amp;IF(P12&lt;&gt;"","X","")&amp;IF(AND(P12&lt;&gt;"",OR(Q12&lt;&gt;"",R12&lt;&gt;"")),", ","")&amp;IF(Q12&lt;&gt;"","Facebook","")&amp;IF(AND(Q12&lt;&gt;"",R12&lt;&gt;""),", ","")&amp;IF(R12&lt;&gt;"","TikTok","")))</x:f>
        <x:v>Facebook</x:v>
      </x:c>
    </x:row>
    <x:row r="13" ht="46.650001525878906" customHeight="1">
      <x:c r="A13" s="8" t="n">
        <x:f t="shared" si="0">IF(C13="","",ROW()-8)</x:f>
        <x:v>5</x:v>
      </x:c>
      <x:c r="B13" s="4" t="str">
        <x:v>Musaned</x:v>
      </x:c>
      <x:c r="C13" s="4" t="str">
        <x:v>Musaned Salary Transfer – 100% Cashback Draw</x:v>
      </x:c>
      <x:c r="D13" s="4" t="str">
        <x:v>Transfer a domestic worker's salary through Musaned in alinma pay for a chance to win 100% cashback.</x:v>
      </x:c>
      <x:c r="E13" s="5" t="n">
        <x:v>46239</x:v>
      </x:c>
      <x:c r="F13" s="5"/>
      <x:c r="G13" s="5"/>
      <x:c r="H13" s="7" t="str">
        <x:f t="shared" si="1">IF(OR(C13="",G13=""),"",G13-TODAY())</x:f>
      </x:c>
      <x:c r="I13" s="6" t="str">
        <x:f t="shared" si="2">IF(C13="","",IF(G13="","End Date Not Stated",IF(G13&lt;TODAY(),"Expired",IF(G13&lt;=TODAY()+7,"Expiring ≤7 Days",IF(G13&lt;=TODAY()+30,"Expiring 8–30 Days","Active")))))</x:f>
        <x:v>End Date Not Stated</x:v>
      </x:c>
      <x:c r="J13" s="4" t="str">
        <x:v>Domestic worker salary transfer through Musaned</x:v>
      </x:c>
      <x:c r="K13" s="4" t="str">
        <x:v>Three winners receive 100% cashback up to SAR 1,000</x:v>
      </x:c>
      <x:c r="L13" s="4" t="str">
        <x:v>alinma pay customers transferring domestic-worker salaries through Musaned</x:v>
      </x:c>
      <x:c r="M13" s="9" t="str">
        <x:f t="shared" si="3">IF(C13="","",IF(N13&lt;&gt;"",N13,IF(O13&lt;&gt;"",O13,IF(P13&lt;&gt;"",P13,IF(Q13&lt;&gt;"",Q13,IF(R13&lt;&gt;"",R13,""))))))</x:f>
        <x:v>https://www.instagram.com/alinmapay/p/DbqaY05mm9E/</x:v>
      </x:c>
      <x:c r="N13" s="4"/>
      <x:c r="O13" s="4" t="str">
        <x:v>https://www.instagram.com/alinmapay/p/DbqaY05mm9E/</x:v>
      </x:c>
      <x:c r="P13" s="4" t="str">
        <x:v>https://x.com/alinmapay/status/2085018248685232195</x:v>
      </x:c>
      <x:c r="Q13" s="4"/>
      <x:c r="R13" s="4"/>
      <x:c r="S13" s="4" t="str">
        <x:v>Official Instagram and X posts announce three winners, each receiving 100% cashback up to SAR 1,000. The campaign end date is not stated.</x:v>
      </x:c>
      <x:c r="T13" s="5" t="n">
        <x:v>46240</x:v>
      </x:c>
      <x:c r="U13" s="35" t="str">
        <x:f t="shared" si="4">IF(C13="","",IF(COUNTA(O13:R13)=0,"No direct social post verified",IF(O13&lt;&gt;"","Instagram","")&amp;IF(AND(O13&lt;&gt;"",OR(P13&lt;&gt;"",Q13&lt;&gt;"",R13&lt;&gt;"")),", ","")&amp;IF(P13&lt;&gt;"","X","")&amp;IF(AND(P13&lt;&gt;"",OR(Q13&lt;&gt;"",R13&lt;&gt;"")),", ","")&amp;IF(Q13&lt;&gt;"","Facebook","")&amp;IF(AND(Q13&lt;&gt;"",R13&lt;&gt;""),", ","")&amp;IF(R13&lt;&gt;"","TikTok","")))</x:f>
        <x:v>Instagram, X</x:v>
      </x:c>
    </x:row>
    <x:row r="14" ht="46.650001525878906" customHeight="1">
      <x:c r="A14" s="8" t="str">
        <x:f t="shared" si="0"/>
      </x:c>
      <x:c r="B14" s="4"/>
      <x:c r="C14" s="4"/>
      <x:c r="D14" s="4"/>
      <x:c r="E14" s="5"/>
      <x:c r="F14" s="5"/>
      <x:c r="G14" s="5"/>
      <x:c r="H14" s="7" t="str">
        <x:f t="shared" si="1"/>
      </x:c>
      <x:c r="I14" s="6" t="str">
        <x:f t="shared" si="2"/>
      </x:c>
      <x:c r="J14" s="4"/>
      <x:c r="K14" s="4"/>
      <x:c r="L14" s="4"/>
      <x:c r="M14" s="9" t="str">
        <x:f t="shared" si="3"/>
      </x:c>
      <x:c r="N14" s="4"/>
      <x:c r="O14" s="4"/>
      <x:c r="P14" s="4"/>
      <x:c r="Q14" s="4"/>
      <x:c r="R14" s="4"/>
      <x:c r="S14" s="4"/>
      <x:c r="T14" s="5"/>
      <x:c r="U14" s="35" t="str">
        <x:f t="shared" si="4"/>
      </x:c>
    </x:row>
    <x:row r="15" ht="46.650001525878906" customHeight="1">
      <x:c r="A15" s="8" t="str">
        <x:f t="shared" si="0"/>
      </x:c>
      <x:c r="B15" s="4"/>
      <x:c r="C15" s="4"/>
      <x:c r="D15" s="4"/>
      <x:c r="E15" s="5"/>
      <x:c r="F15" s="5"/>
      <x:c r="G15" s="5"/>
      <x:c r="H15" s="7" t="str">
        <x:f t="shared" si="1"/>
      </x:c>
      <x:c r="I15" s="6" t="str">
        <x:f t="shared" si="2"/>
      </x:c>
      <x:c r="J15" s="4"/>
      <x:c r="K15" s="4"/>
      <x:c r="L15" s="4"/>
      <x:c r="M15" s="9" t="str">
        <x:f t="shared" si="3"/>
      </x:c>
      <x:c r="N15" s="4"/>
      <x:c r="O15" s="4"/>
      <x:c r="P15" s="4"/>
      <x:c r="Q15" s="4"/>
      <x:c r="R15" s="4"/>
      <x:c r="S15" s="4"/>
      <x:c r="T15" s="5"/>
      <x:c r="U15" s="35" t="str">
        <x:f t="shared" si="4"/>
      </x:c>
    </x:row>
    <x:row r="16" ht="46.650001525878906" customHeight="1">
      <x:c r="A16" s="8" t="str">
        <x:f t="shared" si="0"/>
      </x:c>
      <x:c r="B16" s="4"/>
      <x:c r="C16" s="4"/>
      <x:c r="D16" s="4"/>
      <x:c r="E16" s="5"/>
      <x:c r="F16" s="5"/>
      <x:c r="G16" s="5"/>
      <x:c r="H16" s="7" t="str">
        <x:f t="shared" si="1"/>
      </x:c>
      <x:c r="I16" s="6" t="str">
        <x:f t="shared" si="2"/>
      </x:c>
      <x:c r="J16" s="4"/>
      <x:c r="K16" s="4"/>
      <x:c r="L16" s="4"/>
      <x:c r="M16" s="9" t="str">
        <x:f t="shared" si="3"/>
      </x:c>
      <x:c r="N16" s="4"/>
      <x:c r="O16" s="4"/>
      <x:c r="P16" s="4"/>
      <x:c r="Q16" s="4"/>
      <x:c r="R16" s="4"/>
      <x:c r="S16" s="4"/>
      <x:c r="T16" s="5"/>
      <x:c r="U16" s="35" t="str">
        <x:f t="shared" si="4"/>
      </x:c>
    </x:row>
    <x:row r="17" ht="46.650001525878906" customHeight="1">
      <x:c r="A17" s="8" t="str">
        <x:f t="shared" si="0"/>
      </x:c>
      <x:c r="B17" s="4"/>
      <x:c r="C17" s="4"/>
      <x:c r="D17" s="4"/>
      <x:c r="E17" s="5"/>
      <x:c r="F17" s="5"/>
      <x:c r="G17" s="5"/>
      <x:c r="H17" s="7" t="str">
        <x:f t="shared" si="1"/>
      </x:c>
      <x:c r="I17" s="6" t="str">
        <x:f t="shared" si="2"/>
      </x:c>
      <x:c r="J17" s="4"/>
      <x:c r="K17" s="4"/>
      <x:c r="L17" s="4"/>
      <x:c r="M17" s="9" t="str">
        <x:f t="shared" si="3"/>
      </x:c>
      <x:c r="N17" s="4"/>
      <x:c r="O17" s="4"/>
      <x:c r="P17" s="4"/>
      <x:c r="Q17" s="4"/>
      <x:c r="R17" s="4"/>
      <x:c r="S17" s="4"/>
      <x:c r="T17" s="5"/>
      <x:c r="U17" s="35" t="str">
        <x:f t="shared" si="4"/>
      </x:c>
    </x:row>
    <x:row r="18" ht="46.650001525878906" customHeight="1">
      <x:c r="A18" s="8" t="str">
        <x:f t="shared" si="0"/>
      </x:c>
      <x:c r="B18" s="4"/>
      <x:c r="C18" s="4"/>
      <x:c r="D18" s="4"/>
      <x:c r="E18" s="5"/>
      <x:c r="F18" s="5"/>
      <x:c r="G18" s="5"/>
      <x:c r="H18" s="7" t="str">
        <x:f t="shared" si="1"/>
      </x:c>
      <x:c r="I18" s="6" t="str">
        <x:f t="shared" si="2"/>
      </x:c>
      <x:c r="J18" s="4"/>
      <x:c r="K18" s="4"/>
      <x:c r="L18" s="4"/>
      <x:c r="M18" s="9" t="str">
        <x:f t="shared" si="3"/>
      </x:c>
      <x:c r="N18" s="4"/>
      <x:c r="O18" s="4"/>
      <x:c r="P18" s="4"/>
      <x:c r="Q18" s="4"/>
      <x:c r="R18" s="4"/>
      <x:c r="S18" s="4"/>
      <x:c r="T18" s="5"/>
      <x:c r="U18" s="35" t="str">
        <x:f t="shared" si="4"/>
      </x:c>
    </x:row>
    <x:row r="19" ht="46.650001525878906" customHeight="1">
      <x:c r="A19" s="8" t="str">
        <x:f t="shared" si="0"/>
      </x:c>
      <x:c r="B19" s="4"/>
      <x:c r="C19" s="4"/>
      <x:c r="D19" s="4"/>
      <x:c r="E19" s="5"/>
      <x:c r="F19" s="5"/>
      <x:c r="G19" s="5"/>
      <x:c r="H19" s="7" t="str">
        <x:f t="shared" si="1"/>
      </x:c>
      <x:c r="I19" s="6" t="str">
        <x:f t="shared" si="2"/>
      </x:c>
      <x:c r="J19" s="4"/>
      <x:c r="K19" s="4"/>
      <x:c r="L19" s="4"/>
      <x:c r="M19" s="9" t="str">
        <x:f t="shared" si="3"/>
      </x:c>
      <x:c r="N19" s="4"/>
      <x:c r="O19" s="4"/>
      <x:c r="P19" s="4"/>
      <x:c r="Q19" s="4"/>
      <x:c r="R19" s="4"/>
      <x:c r="S19" s="4"/>
      <x:c r="T19" s="5"/>
      <x:c r="U19" s="35" t="str">
        <x:f t="shared" si="4"/>
      </x:c>
    </x:row>
    <x:row r="20" ht="46.650001525878906" customHeight="1">
      <x:c r="A20" s="8" t="str">
        <x:f t="shared" si="0"/>
      </x:c>
      <x:c r="B20" s="4"/>
      <x:c r="C20" s="4"/>
      <x:c r="D20" s="4"/>
      <x:c r="E20" s="5"/>
      <x:c r="F20" s="5"/>
      <x:c r="G20" s="5"/>
      <x:c r="H20" s="7" t="str">
        <x:f t="shared" si="1"/>
      </x:c>
      <x:c r="I20" s="6" t="str">
        <x:f t="shared" si="2"/>
      </x:c>
      <x:c r="J20" s="4"/>
      <x:c r="K20" s="4"/>
      <x:c r="L20" s="4"/>
      <x:c r="M20" s="9" t="str">
        <x:f t="shared" si="3"/>
      </x:c>
      <x:c r="N20" s="4"/>
      <x:c r="O20" s="4"/>
      <x:c r="P20" s="4"/>
      <x:c r="Q20" s="4"/>
      <x:c r="R20" s="4"/>
      <x:c r="S20" s="4"/>
      <x:c r="T20" s="5"/>
      <x:c r="U20" s="35" t="str">
        <x:f t="shared" si="4"/>
      </x:c>
    </x:row>
    <x:row r="21" ht="46.650001525878906" customHeight="1">
      <x:c r="A21" s="8" t="str">
        <x:f t="shared" si="0"/>
      </x:c>
      <x:c r="B21" s="4"/>
      <x:c r="C21" s="4"/>
      <x:c r="D21" s="4"/>
      <x:c r="E21" s="5"/>
      <x:c r="F21" s="5"/>
      <x:c r="G21" s="5"/>
      <x:c r="H21" s="7" t="str">
        <x:f t="shared" si="1"/>
      </x:c>
      <x:c r="I21" s="6" t="str">
        <x:f t="shared" si="2"/>
      </x:c>
      <x:c r="J21" s="4"/>
      <x:c r="K21" s="4"/>
      <x:c r="L21" s="4"/>
      <x:c r="M21" s="9" t="str">
        <x:f t="shared" si="3"/>
      </x:c>
      <x:c r="N21" s="4"/>
      <x:c r="O21" s="4"/>
      <x:c r="P21" s="4"/>
      <x:c r="Q21" s="4"/>
      <x:c r="R21" s="4"/>
      <x:c r="S21" s="4"/>
      <x:c r="T21" s="5"/>
      <x:c r="U21" s="35" t="str">
        <x:f t="shared" si="4"/>
      </x:c>
    </x:row>
    <x:row r="22" ht="46.650001525878906" customHeight="1">
      <x:c r="A22" s="8" t="str">
        <x:f t="shared" si="0"/>
      </x:c>
      <x:c r="B22" s="4"/>
      <x:c r="C22" s="4"/>
      <x:c r="D22" s="4"/>
      <x:c r="E22" s="5"/>
      <x:c r="F22" s="5"/>
      <x:c r="G22" s="5"/>
      <x:c r="H22" s="7" t="str">
        <x:f t="shared" si="1"/>
      </x:c>
      <x:c r="I22" s="6" t="str">
        <x:f t="shared" si="2"/>
      </x:c>
      <x:c r="J22" s="4"/>
      <x:c r="K22" s="4"/>
      <x:c r="L22" s="4"/>
      <x:c r="M22" s="9" t="str">
        <x:f t="shared" si="3"/>
      </x:c>
      <x:c r="N22" s="4"/>
      <x:c r="O22" s="4"/>
      <x:c r="P22" s="4"/>
      <x:c r="Q22" s="4"/>
      <x:c r="R22" s="4"/>
      <x:c r="S22" s="4"/>
      <x:c r="T22" s="5"/>
      <x:c r="U22" s="35" t="str">
        <x:f t="shared" si="4"/>
      </x:c>
    </x:row>
    <x:row r="23" ht="46.650001525878906" customHeight="1">
      <x:c r="A23" s="8" t="str">
        <x:f t="shared" si="0"/>
      </x:c>
      <x:c r="B23" s="4"/>
      <x:c r="C23" s="4"/>
      <x:c r="D23" s="4"/>
      <x:c r="E23" s="5"/>
      <x:c r="F23" s="5"/>
      <x:c r="G23" s="5"/>
      <x:c r="H23" s="7" t="str">
        <x:f t="shared" si="1"/>
      </x:c>
      <x:c r="I23" s="6" t="str">
        <x:f t="shared" si="2"/>
      </x:c>
      <x:c r="J23" s="4"/>
      <x:c r="K23" s="4"/>
      <x:c r="L23" s="4"/>
      <x:c r="M23" s="9" t="str">
        <x:f t="shared" si="3"/>
      </x:c>
      <x:c r="N23" s="4"/>
      <x:c r="O23" s="4"/>
      <x:c r="P23" s="4"/>
      <x:c r="Q23" s="4"/>
      <x:c r="R23" s="4"/>
      <x:c r="S23" s="4"/>
      <x:c r="T23" s="5"/>
      <x:c r="U23" s="35" t="str">
        <x:f t="shared" si="4"/>
      </x:c>
    </x:row>
    <x:row r="24" ht="46.650001525878906" customHeight="1">
      <x:c r="A24" s="8" t="str">
        <x:f t="shared" si="0"/>
      </x:c>
      <x:c r="B24" s="4"/>
      <x:c r="C24" s="4"/>
      <x:c r="D24" s="4"/>
      <x:c r="E24" s="5"/>
      <x:c r="F24" s="5"/>
      <x:c r="G24" s="5"/>
      <x:c r="H24" s="7" t="str">
        <x:f t="shared" si="1"/>
      </x:c>
      <x:c r="I24" s="6" t="str">
        <x:f t="shared" si="2"/>
      </x:c>
      <x:c r="J24" s="4"/>
      <x:c r="K24" s="4"/>
      <x:c r="L24" s="4"/>
      <x:c r="M24" s="9" t="str">
        <x:f t="shared" si="3"/>
      </x:c>
      <x:c r="N24" s="4"/>
      <x:c r="O24" s="4"/>
      <x:c r="P24" s="4"/>
      <x:c r="Q24" s="4"/>
      <x:c r="R24" s="4"/>
      <x:c r="S24" s="4"/>
      <x:c r="T24" s="5"/>
      <x:c r="U24" s="35" t="str">
        <x:f t="shared" si="4"/>
      </x:c>
    </x:row>
    <x:row r="25" ht="46.650001525878906" customHeight="1">
      <x:c r="A25" s="8" t="str">
        <x:f t="shared" si="0"/>
      </x:c>
      <x:c r="B25" s="4"/>
      <x:c r="C25" s="4"/>
      <x:c r="D25" s="4"/>
      <x:c r="E25" s="5"/>
      <x:c r="F25" s="5"/>
      <x:c r="G25" s="5"/>
      <x:c r="H25" s="7" t="str">
        <x:f t="shared" si="1"/>
      </x:c>
      <x:c r="I25" s="6" t="str">
        <x:f t="shared" si="2"/>
      </x:c>
      <x:c r="J25" s="4"/>
      <x:c r="K25" s="4"/>
      <x:c r="L25" s="4"/>
      <x:c r="M25" s="9" t="str">
        <x:f t="shared" si="3"/>
      </x:c>
      <x:c r="N25" s="4"/>
      <x:c r="O25" s="4"/>
      <x:c r="P25" s="4"/>
      <x:c r="Q25" s="4"/>
      <x:c r="R25" s="4"/>
      <x:c r="S25" s="4"/>
      <x:c r="T25" s="5"/>
      <x:c r="U25" s="35" t="str">
        <x:f t="shared" si="4"/>
      </x:c>
    </x:row>
    <x:row r="26" ht="46.650001525878906" customHeight="1">
      <x:c r="A26" s="8" t="str">
        <x:f t="shared" si="0"/>
      </x:c>
      <x:c r="B26" s="4"/>
      <x:c r="C26" s="4"/>
      <x:c r="D26" s="4"/>
      <x:c r="E26" s="5"/>
      <x:c r="F26" s="5"/>
      <x:c r="G26" s="5"/>
      <x:c r="H26" s="7" t="str">
        <x:f t="shared" si="1"/>
      </x:c>
      <x:c r="I26" s="6" t="str">
        <x:f t="shared" si="2"/>
      </x:c>
      <x:c r="J26" s="4"/>
      <x:c r="K26" s="4"/>
      <x:c r="L26" s="4"/>
      <x:c r="M26" s="9" t="str">
        <x:f t="shared" si="3"/>
      </x:c>
      <x:c r="N26" s="4"/>
      <x:c r="O26" s="4"/>
      <x:c r="P26" s="4"/>
      <x:c r="Q26" s="4"/>
      <x:c r="R26" s="4"/>
      <x:c r="S26" s="4"/>
      <x:c r="T26" s="5"/>
      <x:c r="U26" s="35" t="str">
        <x:f t="shared" si="4"/>
      </x:c>
    </x:row>
    <x:row r="27" ht="46.650001525878906" customHeight="1">
      <x:c r="A27" s="8" t="str">
        <x:f t="shared" si="0"/>
      </x:c>
      <x:c r="B27" s="4"/>
      <x:c r="C27" s="4"/>
      <x:c r="D27" s="4"/>
      <x:c r="E27" s="5"/>
      <x:c r="F27" s="5"/>
      <x:c r="G27" s="5"/>
      <x:c r="H27" s="7" t="str">
        <x:f t="shared" si="1"/>
      </x:c>
      <x:c r="I27" s="6" t="str">
        <x:f t="shared" si="2"/>
      </x:c>
      <x:c r="J27" s="4"/>
      <x:c r="K27" s="4"/>
      <x:c r="L27" s="4"/>
      <x:c r="M27" s="9" t="str">
        <x:f t="shared" si="3"/>
      </x:c>
      <x:c r="N27" s="4"/>
      <x:c r="O27" s="4"/>
      <x:c r="P27" s="4"/>
      <x:c r="Q27" s="4"/>
      <x:c r="R27" s="4"/>
      <x:c r="S27" s="4"/>
      <x:c r="T27" s="5"/>
      <x:c r="U27" s="35" t="str">
        <x:f t="shared" si="4"/>
      </x:c>
    </x:row>
    <x:row r="28" ht="46.650001525878906" customHeight="1">
      <x:c r="A28" s="8" t="str">
        <x:f t="shared" si="0"/>
      </x:c>
      <x:c r="B28" s="4"/>
      <x:c r="C28" s="4"/>
      <x:c r="D28" s="4"/>
      <x:c r="E28" s="5"/>
      <x:c r="F28" s="5"/>
      <x:c r="G28" s="5"/>
      <x:c r="H28" s="7" t="str">
        <x:f t="shared" si="1"/>
      </x:c>
      <x:c r="I28" s="6" t="str">
        <x:f t="shared" si="2"/>
      </x:c>
      <x:c r="J28" s="4"/>
      <x:c r="K28" s="4"/>
      <x:c r="L28" s="4"/>
      <x:c r="M28" s="9" t="str">
        <x:f t="shared" si="3"/>
      </x:c>
      <x:c r="N28" s="4"/>
      <x:c r="O28" s="4"/>
      <x:c r="P28" s="4"/>
      <x:c r="Q28" s="4"/>
      <x:c r="R28" s="4"/>
      <x:c r="S28" s="4"/>
      <x:c r="T28" s="5"/>
      <x:c r="U28" s="35" t="str">
        <x:f t="shared" si="4"/>
      </x:c>
    </x:row>
    <x:row r="29" ht="46.650001525878906" customHeight="1">
      <x:c r="A29" s="8" t="str">
        <x:f t="shared" si="0"/>
      </x:c>
      <x:c r="B29" s="4"/>
      <x:c r="C29" s="4"/>
      <x:c r="D29" s="4"/>
      <x:c r="E29" s="5"/>
      <x:c r="F29" s="5"/>
      <x:c r="G29" s="5"/>
      <x:c r="H29" s="7" t="str">
        <x:f t="shared" si="1"/>
      </x:c>
      <x:c r="I29" s="6" t="str">
        <x:f t="shared" si="2"/>
      </x:c>
      <x:c r="J29" s="4"/>
      <x:c r="K29" s="4"/>
      <x:c r="L29" s="4"/>
      <x:c r="M29" s="9" t="str">
        <x:f t="shared" si="3"/>
      </x:c>
      <x:c r="N29" s="4"/>
      <x:c r="O29" s="4"/>
      <x:c r="P29" s="4"/>
      <x:c r="Q29" s="4"/>
      <x:c r="R29" s="4"/>
      <x:c r="S29" s="4"/>
      <x:c r="T29" s="5"/>
      <x:c r="U29" s="35" t="str">
        <x:f t="shared" si="4"/>
      </x:c>
    </x:row>
    <x:row r="30" ht="46.650001525878906" customHeight="1">
      <x:c r="A30" s="8" t="str">
        <x:f t="shared" si="0"/>
      </x:c>
      <x:c r="B30" s="4"/>
      <x:c r="C30" s="4"/>
      <x:c r="D30" s="4"/>
      <x:c r="E30" s="5"/>
      <x:c r="F30" s="5"/>
      <x:c r="G30" s="5"/>
      <x:c r="H30" s="7" t="str">
        <x:f t="shared" si="1"/>
      </x:c>
      <x:c r="I30" s="6" t="str">
        <x:f t="shared" si="2"/>
      </x:c>
      <x:c r="J30" s="4"/>
      <x:c r="K30" s="4"/>
      <x:c r="L30" s="4"/>
      <x:c r="M30" s="9" t="str">
        <x:f t="shared" si="3"/>
      </x:c>
      <x:c r="N30" s="4"/>
      <x:c r="O30" s="4"/>
      <x:c r="P30" s="4"/>
      <x:c r="Q30" s="4"/>
      <x:c r="R30" s="4"/>
      <x:c r="S30" s="4"/>
      <x:c r="T30" s="5"/>
      <x:c r="U30" s="35" t="str">
        <x:f t="shared" si="4"/>
      </x:c>
    </x:row>
    <x:row r="31" ht="46.650001525878906" customHeight="1">
      <x:c r="A31" s="8" t="str">
        <x:f t="shared" si="0"/>
      </x:c>
      <x:c r="B31" s="4"/>
      <x:c r="C31" s="4"/>
      <x:c r="D31" s="4"/>
      <x:c r="E31" s="5"/>
      <x:c r="F31" s="5"/>
      <x:c r="G31" s="5"/>
      <x:c r="H31" s="7" t="str">
        <x:f t="shared" si="1"/>
      </x:c>
      <x:c r="I31" s="6" t="str">
        <x:f t="shared" si="2"/>
      </x:c>
      <x:c r="J31" s="4"/>
      <x:c r="K31" s="4"/>
      <x:c r="L31" s="4"/>
      <x:c r="M31" s="9" t="str">
        <x:f t="shared" si="3"/>
      </x:c>
      <x:c r="N31" s="4"/>
      <x:c r="O31" s="4"/>
      <x:c r="P31" s="4"/>
      <x:c r="Q31" s="4"/>
      <x:c r="R31" s="4"/>
      <x:c r="S31" s="4"/>
      <x:c r="T31" s="5"/>
      <x:c r="U31" s="35" t="str">
        <x:f t="shared" si="4"/>
      </x:c>
    </x:row>
    <x:row r="32" ht="46.650001525878906" customHeight="1">
      <x:c r="A32" s="8" t="str">
        <x:f t="shared" si="0"/>
      </x:c>
      <x:c r="B32" s="4"/>
      <x:c r="C32" s="4"/>
      <x:c r="D32" s="4"/>
      <x:c r="E32" s="5"/>
      <x:c r="F32" s="5"/>
      <x:c r="G32" s="5"/>
      <x:c r="H32" s="7" t="str">
        <x:f t="shared" si="1"/>
      </x:c>
      <x:c r="I32" s="6" t="str">
        <x:f t="shared" si="2"/>
      </x:c>
      <x:c r="J32" s="4"/>
      <x:c r="K32" s="4"/>
      <x:c r="L32" s="4"/>
      <x:c r="M32" s="9" t="str">
        <x:f t="shared" si="3"/>
      </x:c>
      <x:c r="N32" s="4"/>
      <x:c r="O32" s="4"/>
      <x:c r="P32" s="4"/>
      <x:c r="Q32" s="4"/>
      <x:c r="R32" s="4"/>
      <x:c r="S32" s="4"/>
      <x:c r="T32" s="5"/>
      <x:c r="U32" s="35" t="str">
        <x:f t="shared" si="4"/>
      </x:c>
    </x:row>
    <x:row r="33" ht="46.650001525878906" customHeight="1">
      <x:c r="A33" s="8" t="str">
        <x:f t="shared" si="0"/>
      </x:c>
      <x:c r="B33" s="4"/>
      <x:c r="C33" s="4"/>
      <x:c r="D33" s="4"/>
      <x:c r="E33" s="5"/>
      <x:c r="F33" s="5"/>
      <x:c r="G33" s="5"/>
      <x:c r="H33" s="7" t="str">
        <x:f t="shared" si="1"/>
      </x:c>
      <x:c r="I33" s="6" t="str">
        <x:f t="shared" si="2"/>
      </x:c>
      <x:c r="J33" s="4"/>
      <x:c r="K33" s="4"/>
      <x:c r="L33" s="4"/>
      <x:c r="M33" s="9" t="str">
        <x:f t="shared" si="3"/>
      </x:c>
      <x:c r="N33" s="4"/>
      <x:c r="O33" s="4"/>
      <x:c r="P33" s="4"/>
      <x:c r="Q33" s="4"/>
      <x:c r="R33" s="4"/>
      <x:c r="S33" s="4"/>
      <x:c r="T33" s="5"/>
      <x:c r="U33" s="35" t="str">
        <x:f t="shared" si="4"/>
      </x:c>
    </x:row>
    <x:row r="34" ht="46.650001525878906" customHeight="1">
      <x:c r="A34" s="8" t="str">
        <x:f t="shared" si="0"/>
      </x:c>
      <x:c r="B34" s="4"/>
      <x:c r="C34" s="4"/>
      <x:c r="D34" s="4"/>
      <x:c r="E34" s="5"/>
      <x:c r="F34" s="5"/>
      <x:c r="G34" s="5"/>
      <x:c r="H34" s="7" t="str">
        <x:f t="shared" si="1"/>
      </x:c>
      <x:c r="I34" s="6" t="str">
        <x:f t="shared" si="2"/>
      </x:c>
      <x:c r="J34" s="4"/>
      <x:c r="K34" s="4"/>
      <x:c r="L34" s="4"/>
      <x:c r="M34" s="9" t="str">
        <x:f t="shared" si="3"/>
      </x:c>
      <x:c r="N34" s="4"/>
      <x:c r="O34" s="4"/>
      <x:c r="P34" s="4"/>
      <x:c r="Q34" s="4"/>
      <x:c r="R34" s="4"/>
      <x:c r="S34" s="4"/>
      <x:c r="T34" s="5"/>
      <x:c r="U34" s="35" t="str">
        <x:f t="shared" si="4"/>
      </x:c>
    </x:row>
    <x:row r="35" ht="46.650001525878906" customHeight="1">
      <x:c r="A35" s="8" t="str">
        <x:f t="shared" si="0"/>
      </x:c>
      <x:c r="B35" s="4"/>
      <x:c r="C35" s="4"/>
      <x:c r="D35" s="4"/>
      <x:c r="E35" s="5"/>
      <x:c r="F35" s="5"/>
      <x:c r="G35" s="5"/>
      <x:c r="H35" s="7" t="str">
        <x:f t="shared" si="1"/>
      </x:c>
      <x:c r="I35" s="6" t="str">
        <x:f t="shared" si="2"/>
      </x:c>
      <x:c r="J35" s="4"/>
      <x:c r="K35" s="4"/>
      <x:c r="L35" s="4"/>
      <x:c r="M35" s="9" t="str">
        <x:f t="shared" si="3"/>
      </x:c>
      <x:c r="N35" s="4"/>
      <x:c r="O35" s="4"/>
      <x:c r="P35" s="4"/>
      <x:c r="Q35" s="4"/>
      <x:c r="R35" s="4"/>
      <x:c r="S35" s="4"/>
      <x:c r="T35" s="5"/>
      <x:c r="U35" s="35" t="str">
        <x:f t="shared" si="4"/>
      </x:c>
    </x:row>
    <x:row r="36" ht="46.650001525878906" customHeight="1">
      <x:c r="A36" s="8" t="str">
        <x:f t="shared" si="0"/>
      </x:c>
      <x:c r="B36" s="4"/>
      <x:c r="C36" s="4"/>
      <x:c r="D36" s="4"/>
      <x:c r="E36" s="5"/>
      <x:c r="F36" s="5"/>
      <x:c r="G36" s="5"/>
      <x:c r="H36" s="7" t="str">
        <x:f t="shared" si="1"/>
      </x:c>
      <x:c r="I36" s="6" t="str">
        <x:f t="shared" si="2"/>
      </x:c>
      <x:c r="J36" s="4"/>
      <x:c r="K36" s="4"/>
      <x:c r="L36" s="4"/>
      <x:c r="M36" s="9" t="str">
        <x:f t="shared" si="3"/>
      </x:c>
      <x:c r="N36" s="4"/>
      <x:c r="O36" s="4"/>
      <x:c r="P36" s="4"/>
      <x:c r="Q36" s="4"/>
      <x:c r="R36" s="4"/>
      <x:c r="S36" s="4"/>
      <x:c r="T36" s="5"/>
      <x:c r="U36" s="35" t="str">
        <x:f t="shared" si="4"/>
      </x:c>
    </x:row>
    <x:row r="37" ht="46.650001525878906" customHeight="1">
      <x:c r="A37" s="8" t="str">
        <x:f t="shared" si="0"/>
      </x:c>
      <x:c r="B37" s="4"/>
      <x:c r="C37" s="4"/>
      <x:c r="D37" s="4"/>
      <x:c r="E37" s="5"/>
      <x:c r="F37" s="5"/>
      <x:c r="G37" s="5"/>
      <x:c r="H37" s="7" t="str">
        <x:f t="shared" si="1"/>
      </x:c>
      <x:c r="I37" s="6" t="str">
        <x:f t="shared" si="2"/>
      </x:c>
      <x:c r="J37" s="4"/>
      <x:c r="K37" s="4"/>
      <x:c r="L37" s="4"/>
      <x:c r="M37" s="9" t="str">
        <x:f t="shared" si="3"/>
      </x:c>
      <x:c r="N37" s="4"/>
      <x:c r="O37" s="4"/>
      <x:c r="P37" s="4"/>
      <x:c r="Q37" s="4"/>
      <x:c r="R37" s="4"/>
      <x:c r="S37" s="4"/>
      <x:c r="T37" s="5"/>
      <x:c r="U37" s="35" t="str">
        <x:f t="shared" si="4"/>
      </x:c>
    </x:row>
    <x:row r="38" ht="46.650001525878906" customHeight="1">
      <x:c r="A38" s="8" t="str">
        <x:f t="shared" si="0"/>
      </x:c>
      <x:c r="B38" s="4"/>
      <x:c r="C38" s="4"/>
      <x:c r="D38" s="4"/>
      <x:c r="E38" s="5"/>
      <x:c r="F38" s="5"/>
      <x:c r="G38" s="5"/>
      <x:c r="H38" s="7" t="str">
        <x:f t="shared" si="1"/>
      </x:c>
      <x:c r="I38" s="6" t="str">
        <x:f t="shared" si="2"/>
      </x:c>
      <x:c r="J38" s="4"/>
      <x:c r="K38" s="4"/>
      <x:c r="L38" s="4"/>
      <x:c r="M38" s="9" t="str">
        <x:f t="shared" si="3"/>
      </x:c>
      <x:c r="N38" s="4"/>
      <x:c r="O38" s="4"/>
      <x:c r="P38" s="4"/>
      <x:c r="Q38" s="4"/>
      <x:c r="R38" s="4"/>
      <x:c r="S38" s="4"/>
      <x:c r="T38" s="5"/>
      <x:c r="U38" s="35" t="str">
        <x:f t="shared" si="4"/>
      </x:c>
    </x:row>
    <x:row r="39" ht="46.650001525878906" customHeight="1">
      <x:c r="A39" s="8" t="str">
        <x:f t="shared" si="0"/>
      </x:c>
      <x:c r="B39" s="4"/>
      <x:c r="C39" s="4"/>
      <x:c r="D39" s="4"/>
      <x:c r="E39" s="5"/>
      <x:c r="F39" s="5"/>
      <x:c r="G39" s="5"/>
      <x:c r="H39" s="7" t="str">
        <x:f t="shared" si="1"/>
      </x:c>
      <x:c r="I39" s="6" t="str">
        <x:f t="shared" si="2"/>
      </x:c>
      <x:c r="J39" s="4"/>
      <x:c r="K39" s="4"/>
      <x:c r="L39" s="4"/>
      <x:c r="M39" s="9" t="str">
        <x:f t="shared" si="3"/>
      </x:c>
      <x:c r="N39" s="4"/>
      <x:c r="O39" s="4"/>
      <x:c r="P39" s="4"/>
      <x:c r="Q39" s="4"/>
      <x:c r="R39" s="4"/>
      <x:c r="S39" s="4"/>
      <x:c r="T39" s="5"/>
      <x:c r="U39" s="35" t="str">
        <x:f t="shared" si="4"/>
      </x:c>
    </x:row>
    <x:row r="40" ht="46.650001525878906" customHeight="1">
      <x:c r="A40" s="8" t="str">
        <x:f t="shared" si="0"/>
      </x:c>
      <x:c r="B40" s="4"/>
      <x:c r="C40" s="4"/>
      <x:c r="D40" s="4"/>
      <x:c r="E40" s="5"/>
      <x:c r="F40" s="5"/>
      <x:c r="G40" s="5"/>
      <x:c r="H40" s="7" t="str">
        <x:f t="shared" si="1"/>
      </x:c>
      <x:c r="I40" s="6" t="str">
        <x:f t="shared" si="2"/>
      </x:c>
      <x:c r="J40" s="4"/>
      <x:c r="K40" s="4"/>
      <x:c r="L40" s="4"/>
      <x:c r="M40" s="9" t="str">
        <x:f t="shared" si="3"/>
      </x:c>
      <x:c r="N40" s="4"/>
      <x:c r="O40" s="4"/>
      <x:c r="P40" s="4"/>
      <x:c r="Q40" s="4"/>
      <x:c r="R40" s="4"/>
      <x:c r="S40" s="4"/>
      <x:c r="T40" s="5"/>
      <x:c r="U40" s="35" t="str">
        <x:f t="shared" si="4"/>
      </x:c>
    </x:row>
    <x:row r="41" ht="46.650001525878906" customHeight="1">
      <x:c r="A41" s="8" t="str">
        <x:f t="shared" si="0"/>
      </x:c>
      <x:c r="B41" s="4"/>
      <x:c r="C41" s="4"/>
      <x:c r="D41" s="4"/>
      <x:c r="E41" s="5"/>
      <x:c r="F41" s="5"/>
      <x:c r="G41" s="5"/>
      <x:c r="H41" s="7" t="str">
        <x:f t="shared" si="1"/>
      </x:c>
      <x:c r="I41" s="6" t="str">
        <x:f t="shared" si="2"/>
      </x:c>
      <x:c r="J41" s="4"/>
      <x:c r="K41" s="4"/>
      <x:c r="L41" s="4"/>
      <x:c r="M41" s="9" t="str">
        <x:f t="shared" si="3"/>
      </x:c>
      <x:c r="N41" s="4"/>
      <x:c r="O41" s="4"/>
      <x:c r="P41" s="4"/>
      <x:c r="Q41" s="4"/>
      <x:c r="R41" s="4"/>
      <x:c r="S41" s="4"/>
      <x:c r="T41" s="5"/>
      <x:c r="U41" s="35" t="str">
        <x:f t="shared" si="4"/>
      </x:c>
    </x:row>
    <x:row r="42" ht="46.650001525878906" customHeight="1">
      <x:c r="A42" s="8" t="str">
        <x:f t="shared" si="0"/>
      </x:c>
      <x:c r="B42" s="4"/>
      <x:c r="C42" s="4"/>
      <x:c r="D42" s="4"/>
      <x:c r="E42" s="5"/>
      <x:c r="F42" s="5"/>
      <x:c r="G42" s="5"/>
      <x:c r="H42" s="7" t="str">
        <x:f t="shared" si="1"/>
      </x:c>
      <x:c r="I42" s="6" t="str">
        <x:f t="shared" si="2"/>
      </x:c>
      <x:c r="J42" s="4"/>
      <x:c r="K42" s="4"/>
      <x:c r="L42" s="4"/>
      <x:c r="M42" s="9" t="str">
        <x:f t="shared" si="3"/>
      </x:c>
      <x:c r="N42" s="4"/>
      <x:c r="O42" s="4"/>
      <x:c r="P42" s="4"/>
      <x:c r="Q42" s="4"/>
      <x:c r="R42" s="4"/>
      <x:c r="S42" s="4"/>
      <x:c r="T42" s="5"/>
      <x:c r="U42" s="35" t="str">
        <x:f t="shared" si="4"/>
      </x:c>
    </x:row>
  </x:sheetData>
  <x:mergeCells>
    <x:mergeCell ref="A1:T1"/>
    <x:mergeCell ref="A4:C4"/>
    <x:mergeCell ref="A5:C5"/>
    <x:mergeCell ref="D4:F4"/>
    <x:mergeCell ref="D5:F5"/>
    <x:mergeCell ref="G4:I4"/>
    <x:mergeCell ref="G5:I5"/>
    <x:mergeCell ref="J4:L4"/>
    <x:mergeCell ref="J5:L5"/>
    <x:mergeCell ref="M4:T5"/>
    <x:mergeCell ref="A2:L2"/>
    <x:mergeCell ref="M2:U2"/>
  </x:mergeCells>
  <x:conditionalFormatting sqref="A9:T42">
    <x:cfRule type="expression" dxfId="15" priority="6">
      <x:formula>AND($C9&lt;&gt;"",$M9="")</x:formula>
    </x:cfRule>
  </x:conditionalFormatting>
  <x:conditionalFormatting sqref="A9:T500">
    <x:cfRule type="expression" dxfId="14" priority="7">
      <x:formula>$B9="Merchant"</x:formula>
    </x:cfRule>
    <x:cfRule type="expression" dxfId="13" priority="8">
      <x:formula>$B9="Remittance"</x:formula>
    </x:cfRule>
    <x:cfRule type="expression" dxfId="12" priority="15">
      <x:formula>AND($C9&lt;&gt;"",$M9="")</x:formula>
    </x:cfRule>
  </x:conditionalFormatting>
  <x:conditionalFormatting sqref="B9:B500">
    <x:cfRule type="expression" dxfId="11" priority="9">
      <x:formula>B9="Remittance"</x:formula>
    </x:cfRule>
  </x:conditionalFormatting>
  <x:conditionalFormatting sqref="I9:I42">
    <x:cfRule type="expression" dxfId="10" priority="1">
      <x:formula>I9="Active"</x:formula>
    </x:cfRule>
    <x:cfRule type="expression" dxfId="9" priority="2">
      <x:formula>I9="End Date Not Stated"</x:formula>
    </x:cfRule>
    <x:cfRule type="expression" dxfId="8" priority="3">
      <x:formula>I9="Expiring ≤7 Days"</x:formula>
    </x:cfRule>
    <x:cfRule type="expression" dxfId="7" priority="4">
      <x:formula>I9="Expiring 8–30 Days"</x:formula>
    </x:cfRule>
    <x:cfRule type="expression" dxfId="6" priority="5">
      <x:formula>I9="Expired"</x:formula>
    </x:cfRule>
  </x:conditionalFormatting>
  <x:conditionalFormatting sqref="I9:I500">
    <x:cfRule type="expression" dxfId="5" priority="10">
      <x:formula>I9="Active"</x:formula>
    </x:cfRule>
    <x:cfRule type="expression" dxfId="4" priority="11">
      <x:formula>I9="End Date Not Stated"</x:formula>
    </x:cfRule>
    <x:cfRule type="expression" dxfId="3" priority="12">
      <x:formula>I9="Expiring ≤7 Days"</x:formula>
    </x:cfRule>
    <x:cfRule type="expression" dxfId="2" priority="13">
      <x:formula>I9="Expiring 8–30 Days"</x:formula>
    </x:cfRule>
    <x:cfRule type="expression" dxfId="1" priority="14">
      <x:formula>I9="Expired"</x:formula>
    </x:cfRule>
  </x:conditionalFormatting>
  <x:conditionalFormatting sqref="U9:U42">
    <x:cfRule type="expression" dxfId="0" priority="16">
      <x:formula>U9="No direct social post verified"</x:formula>
    </x:cfRule>
  </x:conditionalFormatting>
  <x:dataValidations count="1">
    <x:dataValidation type="list" sqref="B9:B500">
      <x:formula1>"Remittance,Musaned,SADAD,Card,Merchant,Engagement,Other"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406d3836b54fc3"/>
  </x:tableParts>
</x:worksheet>
</file>

<file path=xl/worksheets/sheet8.xml><?xml version="1.0" encoding="utf-8"?>
<x:worksheet xmlns:x="http://schemas.openxmlformats.org/spreadsheetml/2006/main">
  <x:sheetFormatPr defaultRowHeight="14"/>
  <x:cols>
    <x:col min="1" max="1" width="18" customWidth="1"/>
    <x:col min="2" max="2" width="65" customWidth="1"/>
    <x:col min="3" max="3" width="58" customWidth="1"/>
    <x:col min="4" max="4" width="28" customWidth="1"/>
    <x:col min="5" max="5" width="30" customWidth="1"/>
    <x:col min="6" max="6" width="44" customWidth="1"/>
    <x:col min="7" max="7" width="70" customWidth="1"/>
    <x:col min="8" max="8" width="36" customWidth="1"/>
  </x:cols>
  <x:sheetData>
    <x:row r="1" ht="21.5">
      <x:c r="A1" s="58" t="s">
        <x:v>315</x:v>
      </x:c>
      <x:c r="B1" s="58"/>
      <x:c r="C1" s="58"/>
      <x:c r="D1" s="58"/>
      <x:c r="E1" s="58"/>
      <x:c r="F1" s="58"/>
      <x:c r="G1" s="58"/>
      <x:c r="H1" s="58"/>
    </x:row>
    <x:row r="2" ht="22.649999618530273" customHeight="1">
      <x:c r="A2" s="59" t="str">
        <x:v>Active approved campaigns are listed newest first. Expired campaigns are excluded. Merchant offers appear only as a count in each competitor sheet.</x:v>
      </x:c>
      <x:c r="B2" s="59"/>
      <x:c r="C2" s="59"/>
      <x:c r="D2" s="59"/>
      <x:c r="E2" s="59"/>
      <x:c r="F2" s="59"/>
      <x:c r="G2" s="59"/>
      <x:c r="H2" s="59"/>
    </x:row>
    <x:row r="4">
      <x:c r="A4" s="26" t="s">
        <x:v>316</x:v>
      </x:c>
      <x:c r="B4" s="26" t="s">
        <x:v>317</x:v>
      </x:c>
      <x:c r="C4" s="26" t="s">
        <x:v>318</x:v>
      </x:c>
      <x:c r="D4" s="26" t="s">
        <x:v>319</x:v>
      </x:c>
    </x:row>
    <x:row r="5" ht="38.650001525878906" customHeight="1">
      <x:c r="A5" s="27" t="s">
        <x:v>141</x:v>
      </x:c>
      <x:c r="B5" s="27" t="s">
        <x:v>320</x:v>
      </x:c>
      <x:c r="C5" s="27" t="s">
        <x:v>321</x:v>
      </x:c>
      <x:c r="D5" s="27" t="s">
        <x:v>322</x:v>
      </x:c>
    </x:row>
    <x:row r="6" ht="38.650001525878906" customHeight="1">
      <x:c r="A6" s="4" t="s">
        <x:v>279</x:v>
      </x:c>
      <x:c r="B6" s="4" t="s">
        <x:v>320</x:v>
      </x:c>
      <x:c r="C6" s="4" t="s">
        <x:v>323</x:v>
      </x:c>
      <x:c r="D6" s="4" t="s">
        <x:v>324</x:v>
      </x:c>
    </x:row>
    <x:row r="7" ht="38.650001525878906" customHeight="1">
      <x:c r="A7" s="4" t="s">
        <x:v>197</x:v>
      </x:c>
      <x:c r="B7" s="4" t="s">
        <x:v>320</x:v>
      </x:c>
      <x:c r="C7" s="4" t="s">
        <x:v>325</x:v>
      </x:c>
      <x:c r="D7" s="4" t="s">
        <x:v>326</x:v>
      </x:c>
    </x:row>
    <x:row r="8" ht="38.650001525878906" customHeight="1">
      <x:c r="A8" s="4" t="s">
        <x:v>23</x:v>
      </x:c>
      <x:c r="B8" s="4" t="s">
        <x:v>320</x:v>
      </x:c>
      <x:c r="C8" s="4" t="s">
        <x:v>327</x:v>
      </x:c>
      <x:c r="D8" s="4" t="s">
        <x:v>328</x:v>
      </x:c>
    </x:row>
    <x:row r="9" ht="38.650001525878906" customHeight="1">
      <x:c r="A9" s="4" t="s">
        <x:v>110</x:v>
      </x:c>
      <x:c r="B9" s="4" t="s">
        <x:v>320</x:v>
      </x:c>
      <x:c r="C9" s="4" t="s">
        <x:v>329</x:v>
      </x:c>
      <x:c r="D9" s="4" t="s">
        <x:v>330</x:v>
      </x:c>
    </x:row>
    <x:row r="10" ht="38.650001525878906" customHeight="1">
      <x:c r="A10" s="28" t="s">
        <x:v>55</x:v>
      </x:c>
      <x:c r="B10" s="28" t="s">
        <x:v>331</x:v>
      </x:c>
      <x:c r="C10" s="28" t="s">
        <x:v>332</x:v>
      </x:c>
      <x:c r="D10" s="28" t="s">
        <x:v>333</x:v>
      </x:c>
    </x:row>
    <x:row r="11" ht="38.650001525878906" customHeight="1">
      <x:c r="A11" s="4" t="s">
        <x:v>186</x:v>
      </x:c>
      <x:c r="B11" s="4" t="s">
        <x:v>334</x:v>
      </x:c>
      <x:c r="C11" s="4" t="s">
        <x:v>335</x:v>
      </x:c>
      <x:c r="D11" s="4" t="s">
        <x:v>336</x:v>
      </x:c>
    </x:row>
    <x:row r="14" ht="16.5">
      <x:c r="A14" s="46" t="s">
        <x:v>337</x:v>
      </x:c>
      <x:c r="B14" s="46"/>
      <x:c r="C14" s="46"/>
      <x:c r="D14" s="46"/>
      <x:c r="E14" s="46"/>
      <x:c r="F14" s="46"/>
      <x:c r="G14" s="46"/>
      <x:c r="H14" s="46"/>
    </x:row>
    <x:row r="15" ht="22.649999618530273" customHeight="1">
      <x:c r="A15" s="60" t="str">
        <x:v>1. Do not list individual merchant offers as campaign rows; retain only the approved active count for each competitor.</x:v>
      </x:c>
      <x:c r="B15" s="60"/>
      <x:c r="C15" s="60"/>
      <x:c r="D15" s="60"/>
      <x:c r="E15" s="60"/>
      <x:c r="F15" s="60"/>
      <x:c r="G15" s="60"/>
      <x:c r="H15" s="60"/>
    </x:row>
    <x:row r="16" ht="22.649999618530273" customHeight="1">
      <x:c r="A16" s="61" t="str">
        <x:v>2. Exclude expired, inactive, or unapproved merchant offers from the displayed count.</x:v>
      </x:c>
      <x:c r="B16" s="61"/>
      <x:c r="C16" s="61"/>
      <x:c r="D16" s="61"/>
      <x:c r="E16" s="61"/>
      <x:c r="F16" s="61"/>
      <x:c r="G16" s="61"/>
      <x:c r="H16" s="61"/>
    </x:row>
    <x:row r="17" ht="22.649999618530273" customHeight="1">
      <x:c r="A17" s="60" t="str">
        <x:v>3. Show the merchant-offer count only in the relevant competitor sheet; exclude it from Dashboard campaign KPIs and charts.</x:v>
      </x:c>
      <x:c r="B17" s="60"/>
      <x:c r="C17" s="60"/>
      <x:c r="D17" s="60"/>
      <x:c r="E17" s="60"/>
      <x:c r="F17" s="60"/>
      <x:c r="G17" s="60"/>
      <x:c r="H17" s="60"/>
    </x:row>
    <x:row r="18" ht="22.649999618530273" customHeight="1">
      <x:c r="A18" s="61" t="str">
        <x:v>4. Count a merchant activation as a campaign only when it has a coordinated objective, defined audience, dedicated timing, communication plan, and measurable campaign KPI.</x:v>
      </x:c>
      <x:c r="B18" s="61"/>
      <x:c r="C18" s="61"/>
      <x:c r="D18" s="61"/>
      <x:c r="E18" s="61"/>
      <x:c r="F18" s="61"/>
      <x:c r="G18" s="61"/>
      <x:c r="H18" s="61"/>
    </x:row>
    <x:row r="19" ht="22.649999618530273" customHeight="1">
      <x:c r="A19" s="60" t="str">
        <x:v>5. This convention prevents individual partner discounts from inflating campaign volume.</x:v>
      </x:c>
      <x:c r="B19" s="60"/>
      <x:c r="C19" s="60"/>
      <x:c r="D19" s="60"/>
      <x:c r="E19" s="60"/>
      <x:c r="F19" s="60"/>
      <x:c r="G19" s="60"/>
      <x:c r="H19" s="60"/>
    </x:row>
    <x:row r="20" ht="36.650001525878906" customHeight="1"/>
    <x:row r="21" ht="36.650001525878906" customHeight="1"/>
    <x:row r="22" ht="36.650001525878906" customHeight="1">
      <x:c r="A22" s="45" t="s">
        <x:v>338</x:v>
      </x:c>
      <x:c r="B22" s="45"/>
      <x:c r="C22" s="45"/>
      <x:c r="D22" s="45"/>
      <x:c r="E22" s="45"/>
      <x:c r="F22" s="45"/>
      <x:c r="G22" s="45"/>
      <x:c r="H22" s="45"/>
    </x:row>
    <x:row r="23" ht="32" customHeight="1"/>
    <x:row r="24" ht="32" customHeight="1">
      <x:c r="A24" s="21" t="s">
        <x:v>339</x:v>
      </x:c>
      <x:c r="B24" s="21" t="s">
        <x:v>340</x:v>
      </x:c>
      <x:c r="D24" s="29" t="s">
        <x:v>341</x:v>
      </x:c>
      <x:c r="E24" s="29" t="s">
        <x:v>342</x:v>
      </x:c>
      <x:c r="F24" s="29" t="s">
        <x:v>343</x:v>
      </x:c>
      <x:c r="G24" s="29" t="s">
        <x:v>344</x:v>
      </x:c>
      <x:c r="H24" s="29" t="s">
        <x:v>345</x:v>
      </x:c>
    </x:row>
    <x:row r="25" ht="46.650001525878906" customHeight="1">
      <x:c r="A25" s="1" t="s">
        <x:v>346</x:v>
      </x:c>
      <x:c r="B25" s="1" t="str">
        <x:v>Campaign rows are populated automatically from approved monitoring data.</x:v>
      </x:c>
      <x:c r="D25" s="4" t="s">
        <x:v>347</x:v>
      </x:c>
      <x:c r="E25" s="4" t="s">
        <x:v>348</x:v>
      </x:c>
      <x:c r="F25" s="4" t="s">
        <x:v>349</x:v>
      </x:c>
      <x:c r="G25" s="4" t="s">
        <x:v>350</x:v>
      </x:c>
      <x:c r="H25" s="4" t="s">
        <x:v>351</x:v>
      </x:c>
    </x:row>
    <x:row r="26" ht="46.650001525878906" customHeight="1">
      <x:c r="A26" s="1" t="s">
        <x:v>352</x:v>
      </x:c>
      <x:c r="B26" s="1" t="str">
        <x:v>Merchant offers are shown only as an active approved count in each competitor sheet.</x:v>
      </x:c>
      <x:c r="D26" s="4" t="s">
        <x:v>353</x:v>
      </x:c>
      <x:c r="E26" s="4" t="s">
        <x:v>354</x:v>
      </x:c>
      <x:c r="F26" s="4" t="s">
        <x:v>355</x:v>
      </x:c>
      <x:c r="G26" s="4" t="s">
        <x:v>356</x:v>
      </x:c>
      <x:c r="H26" s="4" t="s">
        <x:v>357</x:v>
      </x:c>
    </x:row>
    <x:row r="27" ht="46.650001525878906" customHeight="1">
      <x:c r="A27" s="1" t="s">
        <x:v>358</x:v>
      </x:c>
      <x:c r="B27" s="1" t="str">
        <x:v>Use Remittance for all international-transfer campaigns; these rows are highlighted automatically.</x:v>
      </x:c>
      <x:c r="D27" s="4" t="s">
        <x:v>359</x:v>
      </x:c>
      <x:c r="E27" s="4" t="s">
        <x:v>360</x:v>
      </x:c>
      <x:c r="F27" s="4" t="s">
        <x:v>361</x:v>
      </x:c>
      <x:c r="G27" s="4" t="s">
        <x:v>362</x:v>
      </x:c>
      <x:c r="H27" s="4" t="s">
        <x:v>363</x:v>
      </x:c>
    </x:row>
    <x:row r="28" ht="30.649999618530273" customHeight="1">
      <x:c r="A28" s="1" t="s">
        <x:v>364</x:v>
      </x:c>
      <x:c r="B28" s="1" t="str">
        <x:v>Each listed campaign must retain a direct official campaign page or confirmed official social source.</x:v>
      </x:c>
    </x:row>
    <x:row r="29" ht="30.649999618530273" customHeight="1">
      <x:c r="A29" s="1" t="s">
        <x:v>365</x:v>
      </x:c>
      <x:c r="B29" s="1" t="str">
        <x:v>Expired campaigns are excluded; leave End Date blank only when the official source does not state it.</x:v>
      </x:c>
    </x:row>
    <x:row r="30" ht="30.649999618530273" customHeight="1">
      <x:c r="A30" s="1" t="s">
        <x:v>366</x:v>
      </x:c>
      <x:c r="B30" s="1" t="str">
        <x:v>Campaigns are sorted newest first using Start Date, Published Date, and detection date.</x:v>
      </x:c>
    </x:row>
    <x:row r="31" ht="30.649999618530273" customHeight="1">
      <x:c r="A31" s="1" t="s">
        <x:v>367</x:v>
      </x:c>
      <x:c r="B31" s="1" t="str">
        <x:v>Dashboard campaign KPIs, category mix, remittance analysis, and the 14-day social Bar Chart update automatically.</x:v>
      </x:c>
    </x:row>
    <x:row r="32" ht="30.649999618530273" customHeight="1">
      <x:c r="A32" s="1" t="s">
        <x:v>368</x:v>
      </x:c>
      <x:c r="B32" s="1" t="str">
        <x:v>Social Post Count includes confirmed posts linked to the campaign; Published Platforms lists the relevant channels.</x:v>
      </x:c>
    </x:row>
    <x:row r="34" ht="22.649999618530273" customHeight="1">
      <x:c r="A34" s="62" t="str">
        <x:v>The Social Media Activity Bar Chart counts unique direct official posts published during the latest 14-day window.</x:v>
      </x:c>
      <x:c r="B34" s="62"/>
      <x:c r="C34" s="62"/>
      <x:c r="D34" s="62"/>
      <x:c r="E34" s="62"/>
      <x:c r="F34" s="62"/>
      <x:c r="G34" s="62"/>
      <x:c r="H34" s="62"/>
    </x:row>
  </x:sheetData>
  <x:mergeCells>
    <x:mergeCell ref="A17:H17"/>
    <x:mergeCell ref="A18:H18"/>
    <x:mergeCell ref="A19:H19"/>
    <x:mergeCell ref="A22:H22"/>
    <x:mergeCell ref="A34:H34"/>
    <x:mergeCell ref="A1:H1"/>
    <x:mergeCell ref="A2:H2"/>
    <x:mergeCell ref="A14:H14"/>
    <x:mergeCell ref="A15:H15"/>
    <x:mergeCell ref="A16:H16"/>
  </x:mergeCells>
  <x:pageMargins left="0.7" right="0.7" top="0.75" bottom="0.75" header="0.3" footer="0.3"/>
</x:worksheet>
</file>